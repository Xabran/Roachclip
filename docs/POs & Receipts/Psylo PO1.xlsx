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showInkAnnotation="0" autoCompressPictures="0"/>
  <bookViews>
    <workbookView xWindow="0" yWindow="0" windowWidth="25440" windowHeight="14055"/>
  </bookViews>
  <sheets>
    <sheet name="Sheet1" sheetId="1" r:id="rId1"/>
    <sheet name="Sheet2" sheetId="4" r:id="rId2"/>
    <sheet name="Sheet3" sheetId="3" r:id="rId3"/>
  </sheets>
  <calcPr calcId="144525" concurrentCalc="0"/>
  <extLst>
    <ext xmlns:mx="http://schemas.microsoft.com/office/mac/excel/2008/main" uri="http://schemas.microsoft.com/office/mac/excel/2008/main">
      <mx:ArchID Flags="2"/>
    </ext>
  </extLst>
</workbook>
</file>

<file path=xl/calcChain.xml><?xml version="1.0" encoding="utf-8"?>
<calcChain xmlns="http://schemas.openxmlformats.org/spreadsheetml/2006/main">
  <c r="O16" i="1" l="1"/>
  <c r="Q16" i="1"/>
  <c r="O17" i="1"/>
  <c r="Q17" i="1"/>
  <c r="Q18" i="1"/>
  <c r="Q19" i="1"/>
  <c r="Q20" i="1"/>
  <c r="Q21" i="1"/>
  <c r="Q22" i="1"/>
  <c r="O23" i="1"/>
  <c r="Q23" i="1"/>
  <c r="O24" i="1"/>
  <c r="Q24" i="1"/>
  <c r="Q26" i="1"/>
  <c r="O27" i="1"/>
  <c r="Q27" i="1"/>
  <c r="Q28" i="1"/>
  <c r="O29" i="1"/>
  <c r="Q29" i="1"/>
  <c r="O30" i="1"/>
  <c r="Q30" i="1"/>
  <c r="O31" i="1"/>
  <c r="Q31" i="1"/>
  <c r="O32" i="1"/>
  <c r="Q32" i="1"/>
  <c r="Q33" i="1"/>
  <c r="Q34" i="1"/>
  <c r="Q35" i="1"/>
  <c r="Q36" i="1"/>
  <c r="O37" i="1"/>
  <c r="Q37" i="1"/>
  <c r="O38" i="1"/>
  <c r="Q38" i="1"/>
  <c r="O39" i="1"/>
  <c r="Q39" i="1"/>
  <c r="O40" i="1"/>
  <c r="Q40" i="1"/>
  <c r="O41" i="1"/>
  <c r="Q41" i="1"/>
  <c r="O42" i="1"/>
  <c r="Q42" i="1"/>
  <c r="O43" i="1"/>
  <c r="Q43" i="1"/>
  <c r="O44" i="1"/>
  <c r="Q44" i="1"/>
  <c r="O45" i="1"/>
  <c r="Q45" i="1"/>
  <c r="Q46" i="1"/>
  <c r="O47" i="1"/>
  <c r="Q47" i="1"/>
  <c r="O48" i="1"/>
  <c r="Q48" i="1"/>
  <c r="O49" i="1"/>
  <c r="Q49" i="1"/>
  <c r="O50" i="1"/>
  <c r="Q50" i="1"/>
  <c r="O51" i="1"/>
  <c r="Q51" i="1"/>
  <c r="Q52" i="1"/>
  <c r="O53" i="1"/>
  <c r="Q53" i="1"/>
  <c r="O54" i="1"/>
  <c r="Q54" i="1"/>
  <c r="O55" i="1"/>
  <c r="Q55" i="1"/>
  <c r="Q56" i="1"/>
  <c r="Q59" i="1"/>
  <c r="O18" i="1"/>
  <c r="O19" i="1"/>
  <c r="O20" i="1"/>
  <c r="O21" i="1"/>
  <c r="O22" i="1"/>
  <c r="O25" i="1"/>
  <c r="O28" i="1"/>
  <c r="O33" i="1"/>
  <c r="O34" i="1"/>
  <c r="O35" i="1"/>
  <c r="O36" i="1"/>
  <c r="O46" i="1"/>
  <c r="O52" i="1"/>
  <c r="O56" i="1"/>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alcChain>
</file>

<file path=xl/sharedStrings.xml><?xml version="1.0" encoding="utf-8"?>
<sst xmlns="http://schemas.openxmlformats.org/spreadsheetml/2006/main" count="186" uniqueCount="86">
  <si>
    <t>For the purpose of this Purchase Order the purchaser elects domicile in the city of Toronto, in the province of Ontario. This contract is subject to the laws of Ontario. No claims allowed unless made within 8 days of receipt of goods. No claims shall be accepted without authorization number. Interest shall be charged at 1.5% per month on over due accounts.</t>
  </si>
  <si>
    <t>Roachclip</t>
  </si>
  <si>
    <t>Derek Zimmermann</t>
  </si>
  <si>
    <t>derek@roachclip.com</t>
  </si>
  <si>
    <t>Banyan Enterprises</t>
  </si>
  <si>
    <t>1(530)249-2126</t>
  </si>
  <si>
    <t>OWD10</t>
  </si>
  <si>
    <t>Black</t>
  </si>
  <si>
    <t>Color</t>
  </si>
  <si>
    <t>Bone</t>
  </si>
  <si>
    <t>Charcoal</t>
  </si>
  <si>
    <t>FTS11</t>
  </si>
  <si>
    <t>White</t>
  </si>
  <si>
    <t>Sky blue</t>
  </si>
  <si>
    <t>PWB10</t>
  </si>
  <si>
    <t>Brown</t>
  </si>
  <si>
    <t>Green</t>
  </si>
  <si>
    <t>WRB07</t>
  </si>
  <si>
    <t>Army</t>
  </si>
  <si>
    <t>WRB10</t>
  </si>
  <si>
    <t>Blk-Antiq</t>
  </si>
  <si>
    <t>Blk-Silver</t>
  </si>
  <si>
    <t>WRB20</t>
  </si>
  <si>
    <t>KLW10</t>
  </si>
  <si>
    <t>PLW09</t>
  </si>
  <si>
    <t>BNB10</t>
  </si>
  <si>
    <t>Blk-Purple</t>
  </si>
  <si>
    <t>Blk-Turquoise</t>
  </si>
  <si>
    <t>LAG09</t>
  </si>
  <si>
    <t xml:space="preserve">Owl Dress </t>
  </si>
  <si>
    <t xml:space="preserve">Feathers Singlet </t>
  </si>
  <si>
    <t xml:space="preserve">Pyramid Wristband </t>
  </si>
  <si>
    <t xml:space="preserve">Wristband 7 </t>
  </si>
  <si>
    <t xml:space="preserve">Wristband 10 </t>
  </si>
  <si>
    <t xml:space="preserve">Wristband 20 </t>
  </si>
  <si>
    <t xml:space="preserve">Knitted Legwarmers </t>
  </si>
  <si>
    <t xml:space="preserve">Pecoa Rmx Legwarmers </t>
  </si>
  <si>
    <t xml:space="preserve">Bandana Beanie </t>
  </si>
  <si>
    <t xml:space="preserve">Lace Gloves </t>
  </si>
  <si>
    <t xml:space="preserve">Slub Gloves </t>
  </si>
  <si>
    <t xml:space="preserve">Wi-Fi Gloves </t>
  </si>
  <si>
    <t xml:space="preserve">Mesri Gloves </t>
  </si>
  <si>
    <t xml:space="preserve">Legion RMX Belt </t>
  </si>
  <si>
    <t>Shipping</t>
  </si>
  <si>
    <t>Total Due</t>
  </si>
  <si>
    <t>HST</t>
  </si>
  <si>
    <t>4122 UTAH ST.</t>
    <phoneticPr fontId="28" type="noConversion"/>
  </si>
  <si>
    <t>SAN DIEGO CA 92101</t>
    <phoneticPr fontId="28" type="noConversion"/>
  </si>
  <si>
    <t>Blk-Green</t>
  </si>
  <si>
    <t>Blk-Army</t>
  </si>
  <si>
    <t>SLG11</t>
  </si>
  <si>
    <t>Grey</t>
  </si>
  <si>
    <t>WFG09</t>
  </si>
  <si>
    <t>MEG09</t>
  </si>
  <si>
    <t>Purple</t>
  </si>
  <si>
    <t>LRB10</t>
  </si>
  <si>
    <t>Blk-CHARC.</t>
    <phoneticPr fontId="28" type="noConversion"/>
  </si>
  <si>
    <r>
      <rPr>
        <b/>
        <sz val="10"/>
        <color indexed="8"/>
        <rFont val="Cambria"/>
        <family val="1"/>
      </rPr>
      <t>Import &amp; Distribution by</t>
    </r>
    <r>
      <rPr>
        <b/>
        <sz val="12"/>
        <color indexed="8"/>
        <rFont val="Cambria"/>
        <family val="1"/>
      </rPr>
      <t xml:space="preserve">                          </t>
    </r>
    <r>
      <rPr>
        <b/>
        <sz val="28"/>
        <color indexed="8"/>
        <rFont val="Cambria"/>
        <family val="1"/>
      </rPr>
      <t>Psylo Canada</t>
    </r>
    <r>
      <rPr>
        <b/>
        <sz val="24"/>
        <color indexed="8"/>
        <rFont val="Cambria"/>
        <family val="1"/>
      </rPr>
      <t xml:space="preserve"> </t>
    </r>
    <r>
      <rPr>
        <b/>
        <sz val="10"/>
        <color indexed="8"/>
        <rFont val="Cambria"/>
        <family val="1"/>
      </rPr>
      <t xml:space="preserve">                        </t>
    </r>
  </si>
  <si>
    <t>P.O Number</t>
  </si>
  <si>
    <r>
      <t xml:space="preserve"> 22 Krisbury Ave. Vaughan, ON, L4J 9E2, Canada </t>
    </r>
    <r>
      <rPr>
        <b/>
        <sz val="8"/>
        <rFont val="Calibri"/>
        <family val="2"/>
      </rPr>
      <t>•</t>
    </r>
    <r>
      <rPr>
        <b/>
        <sz val="8"/>
        <rFont val="Cambria"/>
        <family val="1"/>
      </rPr>
      <t xml:space="preserve"> Tel: 1(289)597-7956 </t>
    </r>
    <r>
      <rPr>
        <b/>
        <sz val="8"/>
        <rFont val="Calibri"/>
        <family val="2"/>
      </rPr>
      <t>•</t>
    </r>
    <r>
      <rPr>
        <b/>
        <sz val="8"/>
        <rFont val="Cambria"/>
        <family val="1"/>
      </rPr>
      <t xml:space="preserve"> 1(416)275-8267 </t>
    </r>
    <r>
      <rPr>
        <b/>
        <sz val="8"/>
        <rFont val="Calibri"/>
        <family val="2"/>
      </rPr>
      <t>•</t>
    </r>
    <r>
      <rPr>
        <b/>
        <sz val="8"/>
        <rFont val="Cambria"/>
        <family val="1"/>
      </rPr>
      <t xml:space="preserve"> Fax: 1(289)597-2256 </t>
    </r>
    <r>
      <rPr>
        <b/>
        <sz val="8"/>
        <rFont val="Calibri"/>
        <family val="2"/>
      </rPr>
      <t>•</t>
    </r>
    <r>
      <rPr>
        <b/>
        <sz val="8"/>
        <rFont val="Cambria"/>
        <family val="1"/>
      </rPr>
      <t xml:space="preserve"> info@psylo.ca</t>
    </r>
  </si>
  <si>
    <t>Vendor</t>
  </si>
  <si>
    <t>Ship To</t>
  </si>
  <si>
    <t xml:space="preserve">Order Date </t>
  </si>
  <si>
    <t>Requested Shipping Date</t>
  </si>
  <si>
    <t>Terms:</t>
  </si>
  <si>
    <t xml:space="preserve">Deposit: </t>
  </si>
  <si>
    <t>Sales Rep.</t>
  </si>
  <si>
    <t>Buyer's Name</t>
  </si>
  <si>
    <t>OS</t>
  </si>
  <si>
    <t>S</t>
  </si>
  <si>
    <t>M</t>
  </si>
  <si>
    <t>L</t>
  </si>
  <si>
    <t>XL</t>
  </si>
  <si>
    <t>Style No.</t>
  </si>
  <si>
    <t>Style Name</t>
  </si>
  <si>
    <t>QTY</t>
  </si>
  <si>
    <t>Price $</t>
  </si>
  <si>
    <t>TOTAL</t>
  </si>
  <si>
    <t>Total:</t>
  </si>
  <si>
    <r>
      <t xml:space="preserve">The delivered merchandise remains the property of </t>
    </r>
    <r>
      <rPr>
        <b/>
        <i/>
        <sz val="7.5"/>
        <color indexed="8"/>
        <rFont val="Verdana"/>
        <family val="2"/>
      </rPr>
      <t xml:space="preserve">Psylo Canada </t>
    </r>
    <r>
      <rPr>
        <sz val="7.5"/>
        <color indexed="8"/>
        <rFont val="Verdana"/>
        <family val="2"/>
      </rPr>
      <t>and cannot be used as collateral for loans etc. until fully paid. This, in no way, gives the buyer license to return unsold merchandise. The buyer agrees to honor the payment terms as set on the face of this order. No cancellations shall be accepted after 5 days from the order date. I have read and accepted the conditions of this Purchase Order and have a copy of it.</t>
    </r>
  </si>
  <si>
    <t>……………………………………..…….. Buyer's Authorization</t>
  </si>
  <si>
    <t>Paid with cash on 6/30</t>
  </si>
  <si>
    <t>Initial box in SD contained:</t>
  </si>
  <si>
    <t>Check</t>
  </si>
  <si>
    <t>actually 2</t>
  </si>
  <si>
    <t>Also got 1 set of KUG</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</si>
</sst>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5" formatCode="[$$-409]#,##0.00"/>
  </numFmts>
  <fonts count="36" x14ac:knownFonts="1">
    <font>
      <sz val="11"/>
      <color indexed="8"/>
      <name val="Calibri"/>
      <family val="2"/>
    </font>
    <font>
      <b/>
      <sz val="24"/>
      <color indexed="8"/>
      <name val="Cambria"/>
      <family val="1"/>
    </font>
    <font>
      <b/>
      <sz val="10"/>
      <color indexed="8"/>
      <name val="Cambria"/>
      <family val="1"/>
    </font>
    <font>
      <b/>
      <sz val="12"/>
      <color indexed="8"/>
      <name val="Cambria"/>
      <family val="1"/>
    </font>
    <font>
      <b/>
      <sz val="28"/>
      <color indexed="8"/>
      <name val="Cambria"/>
      <family val="1"/>
    </font>
    <font>
      <b/>
      <sz val="11"/>
      <color indexed="8"/>
      <name val="Cambria"/>
      <family val="1"/>
    </font>
    <font>
      <b/>
      <sz val="12"/>
      <color indexed="10"/>
      <name val="Cambria"/>
      <family val="1"/>
    </font>
    <font>
      <b/>
      <sz val="8"/>
      <name val="Cambria"/>
      <family val="1"/>
    </font>
    <font>
      <b/>
      <sz val="8"/>
      <name val="Calibri"/>
      <family val="2"/>
    </font>
    <font>
      <b/>
      <sz val="9"/>
      <name val="Cambria"/>
      <family val="1"/>
    </font>
    <font>
      <b/>
      <sz val="9"/>
      <color indexed="8"/>
      <name val="Cambria"/>
      <family val="1"/>
    </font>
    <font>
      <b/>
      <sz val="8"/>
      <color indexed="8"/>
      <name val="Cambria"/>
      <family val="1"/>
    </font>
    <font>
      <b/>
      <sz val="8"/>
      <color indexed="8"/>
      <name val="Arial"/>
      <family val="2"/>
    </font>
    <font>
      <b/>
      <sz val="8"/>
      <name val="Arial"/>
      <family val="2"/>
    </font>
    <font>
      <b/>
      <sz val="10"/>
      <color indexed="8"/>
      <name val="Arial"/>
      <family val="2"/>
    </font>
    <font>
      <sz val="7.5"/>
      <color indexed="8"/>
      <name val="Verdana"/>
      <family val="2"/>
    </font>
    <font>
      <b/>
      <i/>
      <sz val="7.5"/>
      <color indexed="8"/>
      <name val="Verdana"/>
      <family val="2"/>
    </font>
    <font>
      <b/>
      <sz val="11"/>
      <color indexed="8"/>
      <name val="Cambria"/>
      <family val="1"/>
    </font>
    <font>
      <b/>
      <sz val="9"/>
      <name val="Cambria"/>
      <family val="1"/>
    </font>
    <font>
      <b/>
      <sz val="9"/>
      <color indexed="8"/>
      <name val="Cambria"/>
      <family val="1"/>
    </font>
    <font>
      <b/>
      <sz val="9"/>
      <color indexed="56"/>
      <name val="Cambria"/>
      <family val="1"/>
    </font>
    <font>
      <sz val="7.5"/>
      <color indexed="8"/>
      <name val="Arial Narrow"/>
      <family val="2"/>
    </font>
    <font>
      <b/>
      <sz val="8"/>
      <color indexed="8"/>
      <name val="Cambria"/>
      <family val="1"/>
    </font>
    <font>
      <b/>
      <sz val="7"/>
      <color indexed="8"/>
      <name val="Arial Narrow"/>
      <family val="2"/>
    </font>
    <font>
      <sz val="11"/>
      <color indexed="8"/>
      <name val="Cambria"/>
      <family val="1"/>
    </font>
    <font>
      <sz val="8"/>
      <name val="Arial"/>
      <family val="2"/>
    </font>
    <font>
      <b/>
      <sz val="8"/>
      <color indexed="8"/>
      <name val="Verdana"/>
      <family val="2"/>
    </font>
    <font>
      <sz val="8"/>
      <name val="Cambria"/>
      <family val="1"/>
    </font>
    <font>
      <sz val="8"/>
      <name val="Verdana"/>
      <family val="2"/>
    </font>
    <font>
      <b/>
      <sz val="8"/>
      <name val="Verdana"/>
      <family val="2"/>
    </font>
    <font>
      <sz val="8"/>
      <color indexed="8"/>
      <name val="Verdana"/>
      <family val="2"/>
    </font>
    <font>
      <b/>
      <sz val="8"/>
      <color indexed="8"/>
      <name val="Verdana"/>
      <family val="2"/>
    </font>
    <font>
      <sz val="8"/>
      <color indexed="10"/>
      <name val="Arial"/>
      <family val="2"/>
    </font>
    <font>
      <sz val="8"/>
      <color indexed="10"/>
      <name val="Verdana"/>
      <family val="2"/>
    </font>
    <font>
      <b/>
      <sz val="8"/>
      <color indexed="10"/>
      <name val="Verdana"/>
      <family val="2"/>
    </font>
    <font>
      <u/>
      <sz val="11"/>
      <color indexed="12"/>
      <name val="Calibri"/>
      <family val="2"/>
    </font>
  </fonts>
  <fills count="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13"/>
        <bgColor indexed="64"/>
      </patternFill>
    </fill>
    <fill>
      <patternFill patternType="solid">
        <fgColor indexed="8"/>
        <bgColor indexed="64"/>
      </patternFill>
    </fill>
  </fills>
  <borders count="62">
    <border>
      <left/>
      <right/>
      <top/>
      <bottom/>
      <diagonal/>
    </border>
    <border>
      <left style="medium">
        <color indexed="64"/>
      </left>
      <right/>
      <top style="medium">
        <color indexed="64"/>
      </top>
      <bottom/>
      <diagonal/>
    </border>
    <border>
      <left/>
      <right/>
      <top style="medium">
        <color indexed="64"/>
      </top>
      <bottom/>
      <diagonal/>
    </border>
    <border>
      <left style="medium">
        <color indexed="8"/>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8"/>
      </left>
      <right/>
      <top style="thin">
        <color indexed="8"/>
      </top>
      <bottom/>
      <diagonal/>
    </border>
    <border>
      <left/>
      <right style="medium">
        <color indexed="64"/>
      </right>
      <top style="thin">
        <color indexed="8"/>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style="medium">
        <color indexed="8"/>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8"/>
      </top>
      <bottom/>
      <diagonal/>
    </border>
    <border>
      <left style="thin">
        <color indexed="64"/>
      </left>
      <right style="thin">
        <color indexed="64"/>
      </right>
      <top style="thin">
        <color indexed="64"/>
      </top>
      <bottom style="thin">
        <color indexed="64"/>
      </bottom>
      <diagonal/>
    </border>
    <border>
      <left/>
      <right/>
      <top style="medium">
        <color indexed="56"/>
      </top>
      <bottom/>
      <diagonal/>
    </border>
    <border>
      <left/>
      <right style="medium">
        <color indexed="64"/>
      </right>
      <top style="medium">
        <color indexed="56"/>
      </top>
      <bottom/>
      <diagonal/>
    </border>
    <border>
      <left/>
      <right/>
      <top/>
      <bottom style="thick">
        <color indexed="56"/>
      </bottom>
      <diagonal/>
    </border>
    <border>
      <left/>
      <right style="medium">
        <color indexed="64"/>
      </right>
      <top/>
      <bottom style="thick">
        <color indexed="56"/>
      </bottom>
      <diagonal/>
    </border>
    <border>
      <left/>
      <right/>
      <top style="thick">
        <color indexed="56"/>
      </top>
      <bottom/>
      <diagonal/>
    </border>
    <border>
      <left/>
      <right style="medium">
        <color indexed="64"/>
      </right>
      <top style="thick">
        <color indexed="56"/>
      </top>
      <bottom/>
      <diagonal/>
    </border>
    <border>
      <left/>
      <right style="medium">
        <color indexed="64"/>
      </right>
      <top style="medium">
        <color indexed="8"/>
      </top>
      <bottom/>
      <diagonal/>
    </border>
    <border>
      <left style="medium">
        <color indexed="64"/>
      </left>
      <right/>
      <top/>
      <bottom style="medium">
        <color indexed="8"/>
      </bottom>
      <diagonal/>
    </border>
    <border>
      <left/>
      <right/>
      <top style="thin">
        <color indexed="64"/>
      </top>
      <bottom/>
      <diagonal/>
    </border>
    <border>
      <left/>
      <right style="thin">
        <color indexed="64"/>
      </right>
      <top style="thin">
        <color indexed="64"/>
      </top>
      <bottom/>
      <diagonal/>
    </border>
    <border>
      <left/>
      <right/>
      <top/>
      <bottom style="medium">
        <color indexed="8"/>
      </bottom>
      <diagonal/>
    </border>
    <border>
      <left style="medium">
        <color indexed="8"/>
      </left>
      <right/>
      <top/>
      <bottom/>
      <diagonal/>
    </border>
    <border>
      <left/>
      <right style="medium">
        <color indexed="8"/>
      </right>
      <top style="medium">
        <color indexed="8"/>
      </top>
      <bottom/>
      <diagonal/>
    </border>
    <border>
      <left style="medium">
        <color indexed="8"/>
      </left>
      <right/>
      <top style="medium">
        <color indexed="8"/>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medium">
        <color indexed="8"/>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8"/>
      </right>
      <top/>
      <bottom style="medium">
        <color indexed="64"/>
      </bottom>
      <diagonal/>
    </border>
    <border>
      <left style="medium">
        <color indexed="8"/>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35" fillId="0" borderId="0" applyNumberFormat="0" applyFill="0" applyBorder="0" applyAlignment="0" applyProtection="0">
      <alignment vertical="top"/>
      <protection locked="0"/>
    </xf>
  </cellStyleXfs>
  <cellXfs count="291">
    <xf numFmtId="0" fontId="0" fillId="0" borderId="0" xfId="0"/>
    <xf numFmtId="0" fontId="7" fillId="2" borderId="5" xfId="0" applyFont="1" applyFill="1" applyBorder="1" applyAlignment="1">
      <alignment horizontal="left" vertical="top" wrapText="1"/>
    </xf>
    <xf numFmtId="0" fontId="7" fillId="2" borderId="0" xfId="0" applyFont="1" applyFill="1" applyBorder="1" applyAlignment="1">
      <alignment horizontal="left" vertical="top" wrapText="1"/>
    </xf>
    <xf numFmtId="0" fontId="7" fillId="2" borderId="11" xfId="0" applyFont="1" applyFill="1" applyBorder="1" applyAlignment="1">
      <alignment horizontal="left" vertical="top" wrapText="1"/>
    </xf>
    <xf numFmtId="0" fontId="10" fillId="2" borderId="16" xfId="0" applyFont="1" applyFill="1" applyBorder="1" applyAlignment="1">
      <alignment vertical="center"/>
    </xf>
    <xf numFmtId="0" fontId="10" fillId="2" borderId="0" xfId="0" applyFont="1" applyFill="1" applyBorder="1" applyAlignment="1">
      <alignment vertical="center"/>
    </xf>
    <xf numFmtId="0" fontId="5" fillId="2" borderId="5" xfId="0" applyFont="1" applyFill="1" applyBorder="1"/>
    <xf numFmtId="0" fontId="5" fillId="2" borderId="0" xfId="0" applyFont="1" applyFill="1" applyBorder="1"/>
    <xf numFmtId="0" fontId="12" fillId="3" borderId="32" xfId="0" applyFont="1" applyFill="1" applyBorder="1"/>
    <xf numFmtId="0" fontId="12" fillId="3" borderId="33" xfId="0" applyFont="1" applyFill="1" applyBorder="1" applyAlignment="1">
      <alignment horizontal="center" vertical="center"/>
    </xf>
    <xf numFmtId="0" fontId="12" fillId="3" borderId="35" xfId="0" applyFont="1" applyFill="1" applyBorder="1"/>
    <xf numFmtId="0" fontId="12" fillId="3" borderId="41" xfId="0" applyFont="1" applyFill="1" applyBorder="1" applyAlignment="1">
      <alignment horizontal="center" vertical="center"/>
    </xf>
    <xf numFmtId="0" fontId="12" fillId="3" borderId="42" xfId="0" applyFont="1" applyFill="1" applyBorder="1" applyAlignment="1">
      <alignment horizontal="center" vertical="center"/>
    </xf>
    <xf numFmtId="0" fontId="12" fillId="3" borderId="43" xfId="0" applyFont="1" applyFill="1" applyBorder="1" applyAlignment="1">
      <alignment horizontal="center" vertical="center"/>
    </xf>
    <xf numFmtId="0" fontId="12" fillId="3" borderId="44" xfId="0" applyFont="1" applyFill="1" applyBorder="1" applyAlignment="1">
      <alignment horizontal="center" vertical="center"/>
    </xf>
    <xf numFmtId="0" fontId="12" fillId="5" borderId="43" xfId="0" applyFont="1" applyFill="1" applyBorder="1" applyAlignment="1">
      <alignment horizontal="center" vertical="center"/>
    </xf>
    <xf numFmtId="0" fontId="12" fillId="5" borderId="44" xfId="0" applyFont="1" applyFill="1" applyBorder="1" applyAlignment="1">
      <alignment horizontal="center" vertical="center"/>
    </xf>
    <xf numFmtId="0" fontId="12" fillId="3" borderId="46" xfId="0" applyFont="1" applyFill="1" applyBorder="1" applyAlignment="1">
      <alignment horizontal="center" vertical="center" wrapText="1"/>
    </xf>
    <xf numFmtId="0" fontId="12" fillId="3" borderId="47" xfId="0" applyFont="1" applyFill="1" applyBorder="1" applyAlignment="1">
      <alignment horizontal="center" vertical="center"/>
    </xf>
    <xf numFmtId="0" fontId="12" fillId="3" borderId="48" xfId="0" applyFont="1" applyFill="1" applyBorder="1" applyAlignment="1">
      <alignment horizontal="center" vertical="center"/>
    </xf>
    <xf numFmtId="49" fontId="12" fillId="0" borderId="49" xfId="0" applyNumberFormat="1" applyFont="1" applyFill="1" applyBorder="1" applyAlignment="1" applyProtection="1">
      <alignment vertical="center"/>
      <protection locked="0"/>
    </xf>
    <xf numFmtId="0" fontId="12" fillId="0" borderId="48" xfId="0" applyFont="1" applyFill="1" applyBorder="1" applyAlignment="1" applyProtection="1">
      <alignment vertical="center"/>
      <protection locked="0"/>
    </xf>
    <xf numFmtId="0" fontId="12" fillId="0" borderId="49" xfId="0" applyFont="1" applyFill="1" applyBorder="1" applyAlignment="1" applyProtection="1">
      <alignment vertical="center"/>
      <protection locked="0"/>
    </xf>
    <xf numFmtId="0" fontId="12" fillId="0" borderId="50" xfId="0" applyFont="1" applyFill="1" applyBorder="1" applyAlignment="1" applyProtection="1">
      <alignment vertical="center"/>
      <protection locked="0"/>
    </xf>
    <xf numFmtId="0" fontId="12" fillId="2" borderId="49" xfId="0" applyFont="1" applyFill="1" applyBorder="1" applyAlignment="1">
      <alignment horizontal="center" vertical="top"/>
    </xf>
    <xf numFmtId="164" fontId="13" fillId="0" borderId="49" xfId="0" applyNumberFormat="1" applyFont="1" applyFill="1" applyBorder="1" applyAlignment="1" applyProtection="1">
      <protection locked="0"/>
    </xf>
    <xf numFmtId="164" fontId="13" fillId="0" borderId="53" xfId="0" applyNumberFormat="1" applyFont="1" applyFill="1" applyBorder="1" applyAlignment="1"/>
    <xf numFmtId="0" fontId="12" fillId="3" borderId="35" xfId="0" applyFont="1" applyFill="1" applyBorder="1" applyAlignment="1">
      <alignment horizontal="center" vertical="center"/>
    </xf>
    <xf numFmtId="0" fontId="12" fillId="0" borderId="15" xfId="0" applyFont="1" applyFill="1" applyBorder="1" applyAlignment="1" applyProtection="1">
      <alignment vertical="center"/>
      <protection locked="0"/>
    </xf>
    <xf numFmtId="0" fontId="12" fillId="0" borderId="35" xfId="0" applyFont="1" applyFill="1" applyBorder="1" applyAlignment="1" applyProtection="1">
      <alignment vertical="center"/>
      <protection locked="0"/>
    </xf>
    <xf numFmtId="0" fontId="12" fillId="0" borderId="17" xfId="0" applyFont="1" applyFill="1" applyBorder="1" applyAlignment="1" applyProtection="1">
      <alignment vertical="center"/>
      <protection locked="0"/>
    </xf>
    <xf numFmtId="0" fontId="12" fillId="0" borderId="13" xfId="0" applyFont="1" applyFill="1" applyBorder="1" applyAlignment="1" applyProtection="1">
      <alignment vertical="center"/>
      <protection locked="0"/>
    </xf>
    <xf numFmtId="0" fontId="12" fillId="2" borderId="17" xfId="0" applyFont="1" applyFill="1" applyBorder="1" applyAlignment="1">
      <alignment horizontal="center" vertical="top"/>
    </xf>
    <xf numFmtId="164" fontId="13" fillId="0" borderId="17" xfId="0" applyNumberFormat="1" applyFont="1" applyFill="1" applyBorder="1" applyAlignment="1" applyProtection="1">
      <protection locked="0"/>
    </xf>
    <xf numFmtId="164" fontId="13" fillId="0" borderId="54" xfId="0" applyNumberFormat="1" applyFont="1" applyFill="1" applyBorder="1" applyAlignment="1"/>
    <xf numFmtId="49" fontId="12" fillId="0" borderId="17" xfId="0" applyNumberFormat="1" applyFont="1" applyFill="1" applyBorder="1" applyAlignment="1" applyProtection="1">
      <alignment vertical="center"/>
      <protection locked="0"/>
    </xf>
    <xf numFmtId="0" fontId="13" fillId="0" borderId="49" xfId="0" applyFont="1" applyFill="1" applyBorder="1" applyAlignment="1" applyProtection="1">
      <alignment vertical="center"/>
      <protection locked="0"/>
    </xf>
    <xf numFmtId="0" fontId="13" fillId="0" borderId="13" xfId="0" applyFont="1" applyFill="1" applyBorder="1" applyAlignment="1" applyProtection="1">
      <alignment vertical="center"/>
      <protection locked="0"/>
    </xf>
    <xf numFmtId="0" fontId="13" fillId="0" borderId="48" xfId="0" applyFont="1" applyFill="1" applyBorder="1" applyAlignment="1" applyProtection="1">
      <alignment vertical="center"/>
      <protection locked="0"/>
    </xf>
    <xf numFmtId="0" fontId="13" fillId="0" borderId="50" xfId="0" applyFont="1" applyFill="1" applyBorder="1" applyAlignment="1" applyProtection="1">
      <alignment vertical="center"/>
      <protection locked="0"/>
    </xf>
    <xf numFmtId="0" fontId="13" fillId="0" borderId="17" xfId="0" applyFont="1" applyFill="1" applyBorder="1" applyAlignment="1" applyProtection="1">
      <alignment vertical="center"/>
      <protection locked="0"/>
    </xf>
    <xf numFmtId="0" fontId="13" fillId="0" borderId="35" xfId="0" applyFont="1" applyFill="1" applyBorder="1" applyAlignment="1" applyProtection="1">
      <alignment vertical="center"/>
      <protection locked="0"/>
    </xf>
    <xf numFmtId="164" fontId="13" fillId="2" borderId="17" xfId="0" applyNumberFormat="1" applyFont="1" applyFill="1" applyBorder="1" applyAlignment="1" applyProtection="1">
      <protection locked="0"/>
    </xf>
    <xf numFmtId="0" fontId="12" fillId="2" borderId="13" xfId="0" applyFont="1" applyFill="1" applyBorder="1" applyAlignment="1" applyProtection="1">
      <alignment vertical="center"/>
      <protection locked="0"/>
    </xf>
    <xf numFmtId="0" fontId="12" fillId="2" borderId="15" xfId="0" applyFont="1" applyFill="1" applyBorder="1" applyAlignment="1" applyProtection="1">
      <alignment vertical="center"/>
      <protection locked="0"/>
    </xf>
    <xf numFmtId="0" fontId="12" fillId="2" borderId="35" xfId="0" applyFont="1" applyFill="1" applyBorder="1" applyAlignment="1" applyProtection="1">
      <alignment vertical="center"/>
      <protection locked="0"/>
    </xf>
    <xf numFmtId="0" fontId="12" fillId="3" borderId="56" xfId="0" applyFont="1" applyFill="1" applyBorder="1" applyAlignment="1">
      <alignment horizontal="center" vertical="center"/>
    </xf>
    <xf numFmtId="0" fontId="12" fillId="3" borderId="17" xfId="0" applyFont="1" applyFill="1" applyBorder="1" applyAlignment="1">
      <alignment horizontal="center" vertical="center"/>
    </xf>
    <xf numFmtId="0" fontId="12" fillId="2" borderId="17" xfId="0" applyFont="1" applyFill="1" applyBorder="1" applyAlignment="1" applyProtection="1">
      <alignment vertical="center"/>
      <protection locked="0"/>
    </xf>
    <xf numFmtId="0" fontId="12" fillId="2" borderId="58" xfId="0" applyFont="1" applyFill="1" applyBorder="1" applyAlignment="1">
      <alignment horizontal="center" vertical="top"/>
    </xf>
    <xf numFmtId="164" fontId="13" fillId="2" borderId="58" xfId="0" applyNumberFormat="1" applyFont="1" applyFill="1" applyBorder="1" applyAlignment="1" applyProtection="1">
      <protection locked="0"/>
    </xf>
    <xf numFmtId="164" fontId="13" fillId="0" borderId="60" xfId="0" applyNumberFormat="1" applyFont="1" applyFill="1" applyBorder="1" applyAlignment="1"/>
    <xf numFmtId="0" fontId="11" fillId="2" borderId="5" xfId="0" applyFont="1" applyFill="1" applyBorder="1" applyAlignment="1">
      <alignment horizontal="center" vertical="center"/>
    </xf>
    <xf numFmtId="0" fontId="12" fillId="2" borderId="0" xfId="0" applyFont="1" applyFill="1" applyBorder="1" applyAlignment="1">
      <alignment vertical="center"/>
    </xf>
    <xf numFmtId="3" fontId="10" fillId="2" borderId="61" xfId="0" applyNumberFormat="1" applyFont="1" applyFill="1" applyBorder="1" applyAlignment="1"/>
    <xf numFmtId="0" fontId="10" fillId="3" borderId="44" xfId="0" applyFont="1" applyFill="1" applyBorder="1" applyAlignment="1">
      <alignment horizontal="right" vertical="center"/>
    </xf>
    <xf numFmtId="164" fontId="10" fillId="2" borderId="47" xfId="0" applyNumberFormat="1" applyFont="1" applyFill="1" applyBorder="1" applyAlignment="1"/>
    <xf numFmtId="0" fontId="15" fillId="2" borderId="0" xfId="0" applyFont="1" applyFill="1" applyBorder="1" applyAlignment="1">
      <alignment vertical="top" wrapText="1"/>
    </xf>
    <xf numFmtId="0" fontId="17" fillId="2" borderId="0" xfId="0" applyFont="1" applyFill="1" applyBorder="1"/>
    <xf numFmtId="0" fontId="18" fillId="2" borderId="0" xfId="0" applyFont="1" applyFill="1" applyBorder="1" applyAlignment="1">
      <alignment vertical="center"/>
    </xf>
    <xf numFmtId="0" fontId="19" fillId="0" borderId="0" xfId="0" applyFont="1" applyFill="1" applyBorder="1" applyAlignment="1">
      <alignment vertical="center"/>
    </xf>
    <xf numFmtId="0" fontId="19" fillId="0" borderId="0" xfId="0" applyFont="1" applyFill="1" applyBorder="1" applyAlignment="1">
      <alignment horizontal="center" vertical="center"/>
    </xf>
    <xf numFmtId="9" fontId="20" fillId="0" borderId="0" xfId="0" applyNumberFormat="1" applyFont="1" applyFill="1" applyBorder="1" applyAlignment="1"/>
    <xf numFmtId="164" fontId="20" fillId="0" borderId="11" xfId="0" applyNumberFormat="1" applyFont="1" applyFill="1" applyBorder="1" applyAlignment="1"/>
    <xf numFmtId="0" fontId="17" fillId="2" borderId="0" xfId="0" applyFont="1" applyFill="1" applyBorder="1" applyAlignment="1">
      <alignment vertical="center"/>
    </xf>
    <xf numFmtId="0" fontId="17" fillId="0" borderId="0" xfId="0" applyFont="1" applyFill="1" applyBorder="1" applyAlignment="1">
      <alignment vertical="center"/>
    </xf>
    <xf numFmtId="164" fontId="19" fillId="0" borderId="11" xfId="0" applyNumberFormat="1" applyFont="1" applyFill="1" applyBorder="1"/>
    <xf numFmtId="0" fontId="21" fillId="2" borderId="0" xfId="0" applyFont="1" applyFill="1" applyBorder="1" applyAlignment="1">
      <alignment vertical="top" wrapText="1"/>
    </xf>
    <xf numFmtId="0" fontId="22" fillId="2" borderId="0" xfId="0" applyFont="1" applyFill="1" applyBorder="1" applyAlignment="1">
      <alignment horizontal="center" wrapText="1"/>
    </xf>
    <xf numFmtId="0" fontId="23" fillId="2" borderId="0" xfId="0" applyFont="1" applyFill="1" applyBorder="1" applyAlignment="1">
      <alignment vertical="top" wrapText="1"/>
    </xf>
    <xf numFmtId="0" fontId="21" fillId="2" borderId="37" xfId="0" applyFont="1" applyFill="1" applyBorder="1" applyAlignment="1">
      <alignment vertical="top" wrapText="1"/>
    </xf>
    <xf numFmtId="0" fontId="23" fillId="2" borderId="37" xfId="0" applyFont="1" applyFill="1" applyBorder="1" applyAlignment="1">
      <alignment vertical="top" wrapText="1"/>
    </xf>
    <xf numFmtId="0" fontId="23" fillId="2" borderId="0" xfId="0" applyFont="1" applyFill="1" applyBorder="1" applyAlignment="1">
      <alignment vertical="center" wrapText="1"/>
    </xf>
    <xf numFmtId="0" fontId="22" fillId="2" borderId="0" xfId="0" applyFont="1" applyFill="1" applyBorder="1" applyAlignment="1">
      <alignment wrapText="1"/>
    </xf>
    <xf numFmtId="0" fontId="24" fillId="0" borderId="0" xfId="0" applyFont="1" applyBorder="1"/>
    <xf numFmtId="0" fontId="24" fillId="0" borderId="0" xfId="0" applyFont="1"/>
    <xf numFmtId="0" fontId="25" fillId="0" borderId="0" xfId="0" applyFont="1"/>
    <xf numFmtId="0" fontId="24" fillId="0" borderId="0" xfId="0" applyFont="1" applyFill="1"/>
    <xf numFmtId="0" fontId="26" fillId="0" borderId="0" xfId="0" applyFont="1" applyFill="1" applyBorder="1" applyAlignment="1">
      <alignment vertical="center"/>
    </xf>
    <xf numFmtId="164" fontId="26" fillId="0" borderId="0" xfId="0" applyNumberFormat="1" applyFont="1" applyFill="1" applyBorder="1" applyAlignment="1">
      <alignment vertical="center"/>
    </xf>
    <xf numFmtId="0" fontId="27" fillId="0" borderId="0" xfId="0" applyFont="1" applyBorder="1" applyAlignment="1">
      <alignment wrapText="1"/>
    </xf>
    <xf numFmtId="0" fontId="24" fillId="0" borderId="0" xfId="0" applyFont="1" applyFill="1" applyBorder="1"/>
    <xf numFmtId="0" fontId="28" fillId="0" borderId="0" xfId="0" applyFont="1" applyFill="1" applyBorder="1" applyAlignment="1">
      <alignment horizontal="left" vertical="top" wrapText="1"/>
    </xf>
    <xf numFmtId="164" fontId="28" fillId="0" borderId="0" xfId="0" applyNumberFormat="1" applyFont="1" applyFill="1" applyBorder="1" applyAlignment="1">
      <alignment horizontal="left" vertical="top" wrapText="1"/>
    </xf>
    <xf numFmtId="0" fontId="17" fillId="0" borderId="0" xfId="0" applyFont="1" applyFill="1" applyBorder="1" applyAlignment="1">
      <alignment horizontal="center" vertical="top"/>
    </xf>
    <xf numFmtId="0" fontId="29" fillId="0" borderId="0" xfId="0" applyFont="1" applyFill="1" applyBorder="1" applyAlignment="1">
      <alignment vertical="center" textRotation="255" wrapText="1"/>
    </xf>
    <xf numFmtId="0" fontId="28" fillId="0" borderId="0" xfId="0" applyFont="1" applyFill="1" applyBorder="1" applyAlignment="1">
      <alignment vertical="top" wrapText="1"/>
    </xf>
    <xf numFmtId="0" fontId="28" fillId="0" borderId="0" xfId="0" applyFont="1" applyFill="1" applyBorder="1" applyAlignment="1"/>
    <xf numFmtId="164" fontId="28" fillId="0" borderId="0" xfId="0" applyNumberFormat="1" applyFont="1" applyFill="1" applyBorder="1" applyAlignment="1"/>
    <xf numFmtId="0" fontId="30" fillId="0" borderId="0" xfId="0" applyFont="1" applyFill="1" applyBorder="1" applyAlignment="1">
      <alignment vertical="top"/>
    </xf>
    <xf numFmtId="0" fontId="31" fillId="0" borderId="0" xfId="0" applyFont="1" applyFill="1" applyBorder="1" applyAlignment="1">
      <alignment vertical="center"/>
    </xf>
    <xf numFmtId="0" fontId="24" fillId="0" borderId="0" xfId="0" applyFont="1" applyFill="1" applyBorder="1" applyAlignment="1">
      <alignment vertical="top"/>
    </xf>
    <xf numFmtId="0" fontId="30" fillId="0" borderId="0" xfId="0" applyFont="1" applyFill="1" applyBorder="1"/>
    <xf numFmtId="0" fontId="29" fillId="0" borderId="0" xfId="0" applyFont="1" applyFill="1" applyBorder="1" applyAlignment="1">
      <alignment horizontal="left"/>
    </xf>
    <xf numFmtId="0" fontId="29" fillId="0" borderId="0" xfId="0" applyFont="1" applyFill="1" applyBorder="1" applyAlignment="1">
      <alignment horizontal="center"/>
    </xf>
    <xf numFmtId="0" fontId="28" fillId="0" borderId="0" xfId="0" applyFont="1" applyFill="1" applyBorder="1" applyAlignment="1">
      <alignment horizontal="center"/>
    </xf>
    <xf numFmtId="164" fontId="28" fillId="0" borderId="0" xfId="0" applyNumberFormat="1" applyFont="1" applyFill="1" applyBorder="1" applyAlignment="1">
      <alignment horizontal="center"/>
    </xf>
    <xf numFmtId="164" fontId="29" fillId="0" borderId="0" xfId="0" applyNumberFormat="1" applyFont="1" applyFill="1" applyBorder="1" applyAlignment="1">
      <alignment horizontal="center"/>
    </xf>
    <xf numFmtId="0" fontId="25" fillId="0" borderId="0" xfId="0" applyFont="1" applyFill="1"/>
    <xf numFmtId="0" fontId="25" fillId="0" borderId="0" xfId="0" applyFont="1" applyBorder="1"/>
    <xf numFmtId="0" fontId="25" fillId="0" borderId="0" xfId="0" applyFont="1" applyFill="1" applyBorder="1"/>
    <xf numFmtId="0" fontId="32" fillId="0" borderId="0" xfId="0" applyFont="1"/>
    <xf numFmtId="0" fontId="27" fillId="0" borderId="0" xfId="0" applyFont="1" applyFill="1" applyBorder="1" applyAlignment="1">
      <alignment wrapText="1"/>
    </xf>
    <xf numFmtId="0" fontId="29" fillId="0" borderId="0" xfId="0" applyFont="1" applyFill="1" applyBorder="1" applyAlignment="1">
      <alignment horizontal="center" vertical="center" wrapText="1"/>
    </xf>
    <xf numFmtId="0" fontId="31" fillId="0" borderId="0" xfId="0" applyFont="1" applyFill="1" applyBorder="1" applyAlignment="1">
      <alignment horizontal="center" vertical="center"/>
    </xf>
    <xf numFmtId="164" fontId="29" fillId="0" borderId="0" xfId="0" applyNumberFormat="1" applyFont="1" applyFill="1" applyBorder="1" applyAlignment="1">
      <alignment horizontal="center" vertical="center" wrapText="1"/>
    </xf>
    <xf numFmtId="0" fontId="29" fillId="0" borderId="0" xfId="0" applyFont="1" applyFill="1" applyBorder="1" applyAlignment="1">
      <alignment vertical="center" wrapText="1"/>
    </xf>
    <xf numFmtId="0" fontId="28" fillId="0" borderId="0" xfId="0" applyFont="1" applyFill="1" applyBorder="1" applyAlignment="1">
      <alignment horizontal="left"/>
    </xf>
    <xf numFmtId="165" fontId="28" fillId="0" borderId="0" xfId="0" applyNumberFormat="1" applyFont="1" applyFill="1" applyBorder="1"/>
    <xf numFmtId="164" fontId="28" fillId="0" borderId="0" xfId="0" applyNumberFormat="1" applyFont="1" applyFill="1" applyBorder="1"/>
    <xf numFmtId="0" fontId="28" fillId="0" borderId="0" xfId="0" applyFont="1" applyFill="1" applyBorder="1"/>
    <xf numFmtId="16" fontId="28" fillId="0" borderId="0" xfId="0" applyNumberFormat="1" applyFont="1" applyFill="1" applyBorder="1" applyAlignment="1">
      <alignment horizontal="left"/>
    </xf>
    <xf numFmtId="164" fontId="29" fillId="0" borderId="0" xfId="0" applyNumberFormat="1" applyFont="1" applyFill="1" applyBorder="1" applyAlignment="1">
      <alignment vertical="center" wrapText="1"/>
    </xf>
    <xf numFmtId="0" fontId="33" fillId="0" borderId="0" xfId="0" applyFont="1" applyFill="1" applyBorder="1"/>
    <xf numFmtId="164" fontId="33" fillId="0" borderId="0" xfId="0" applyNumberFormat="1" applyFont="1" applyFill="1" applyBorder="1"/>
    <xf numFmtId="0" fontId="29" fillId="0" borderId="0" xfId="0" applyFont="1" applyFill="1" applyBorder="1"/>
    <xf numFmtId="164" fontId="29" fillId="0" borderId="0" xfId="0" applyNumberFormat="1" applyFont="1" applyFill="1" applyBorder="1"/>
    <xf numFmtId="0" fontId="34" fillId="0" borderId="0" xfId="0" applyFont="1" applyFill="1" applyBorder="1"/>
    <xf numFmtId="0" fontId="12" fillId="2" borderId="17" xfId="0" applyFont="1" applyFill="1" applyBorder="1" applyAlignment="1" applyProtection="1">
      <alignment vertical="center"/>
      <protection locked="0"/>
    </xf>
    <xf numFmtId="0" fontId="12" fillId="0" borderId="50" xfId="0" applyFont="1" applyFill="1" applyBorder="1" applyAlignment="1" applyProtection="1">
      <alignment vertical="center"/>
      <protection locked="0"/>
    </xf>
    <xf numFmtId="0" fontId="12" fillId="0" borderId="13" xfId="0" applyFont="1" applyFill="1" applyBorder="1" applyAlignment="1" applyProtection="1">
      <alignment vertical="center"/>
      <protection locked="0"/>
    </xf>
    <xf numFmtId="0" fontId="12" fillId="0" borderId="15" xfId="0" applyFont="1" applyFill="1" applyBorder="1" applyAlignment="1" applyProtection="1">
      <alignment vertical="center"/>
      <protection locked="0"/>
    </xf>
    <xf numFmtId="0" fontId="13" fillId="0" borderId="13" xfId="0" applyFont="1" applyFill="1" applyBorder="1" applyAlignment="1" applyProtection="1">
      <alignment vertical="center"/>
      <protection locked="0"/>
    </xf>
    <xf numFmtId="0" fontId="12" fillId="2" borderId="13" xfId="0" applyFont="1" applyFill="1" applyBorder="1" applyAlignment="1" applyProtection="1">
      <alignment vertical="center"/>
      <protection locked="0"/>
    </xf>
    <xf numFmtId="0" fontId="12" fillId="2" borderId="15" xfId="0" applyFont="1" applyFill="1" applyBorder="1" applyAlignment="1" applyProtection="1">
      <alignment vertical="center"/>
      <protection locked="0"/>
    </xf>
    <xf numFmtId="0" fontId="12" fillId="0" borderId="17" xfId="0" applyFont="1" applyFill="1" applyBorder="1" applyAlignment="1" applyProtection="1">
      <alignment vertical="center"/>
      <protection locked="0"/>
    </xf>
    <xf numFmtId="0" fontId="31" fillId="0" borderId="0" xfId="0" applyFont="1" applyFill="1" applyBorder="1" applyAlignment="1">
      <alignment horizontal="center" vertical="center"/>
    </xf>
    <xf numFmtId="164" fontId="28" fillId="0" borderId="0" xfId="0" applyNumberFormat="1" applyFont="1" applyFill="1" applyBorder="1" applyAlignment="1">
      <alignment horizontal="center"/>
    </xf>
    <xf numFmtId="0" fontId="12" fillId="2" borderId="0" xfId="0" applyFont="1" applyFill="1" applyBorder="1" applyAlignment="1">
      <alignment vertical="center"/>
    </xf>
    <xf numFmtId="164" fontId="20" fillId="0" borderId="61" xfId="0" applyNumberFormat="1" applyFont="1" applyFill="1" applyBorder="1" applyAlignment="1"/>
    <xf numFmtId="0" fontId="19" fillId="0" borderId="0" xfId="0" applyFont="1" applyFill="1" applyBorder="1" applyAlignment="1"/>
    <xf numFmtId="164" fontId="19" fillId="0" borderId="61" xfId="0" applyNumberFormat="1" applyFont="1" applyFill="1" applyBorder="1"/>
    <xf numFmtId="0" fontId="11" fillId="0" borderId="0" xfId="0" applyFont="1" applyFill="1" applyBorder="1" applyAlignment="1" applyProtection="1">
      <alignment wrapText="1"/>
      <protection locked="0"/>
    </xf>
    <xf numFmtId="164" fontId="11" fillId="0" borderId="61" xfId="0" applyNumberFormat="1" applyFont="1" applyFill="1" applyBorder="1" applyAlignment="1" applyProtection="1">
      <alignment wrapText="1"/>
      <protection locked="0"/>
    </xf>
    <xf numFmtId="0" fontId="22" fillId="0" borderId="0" xfId="0" applyFont="1" applyFill="1" applyBorder="1" applyAlignment="1">
      <alignment horizontal="center" wrapText="1"/>
    </xf>
    <xf numFmtId="0" fontId="23" fillId="0" borderId="0" xfId="0" applyFont="1" applyFill="1" applyBorder="1" applyAlignment="1">
      <alignment vertical="top" wrapText="1"/>
    </xf>
    <xf numFmtId="0" fontId="23" fillId="0" borderId="37" xfId="0" applyFont="1" applyFill="1" applyBorder="1" applyAlignment="1">
      <alignment vertical="top" wrapText="1"/>
    </xf>
    <xf numFmtId="0" fontId="12" fillId="2" borderId="58" xfId="0" applyFont="1" applyFill="1" applyBorder="1" applyAlignment="1" applyProtection="1">
      <alignment vertical="center"/>
      <protection locked="0"/>
    </xf>
    <xf numFmtId="0" fontId="12" fillId="2" borderId="55" xfId="0" applyFont="1" applyFill="1" applyBorder="1" applyAlignment="1" applyProtection="1">
      <alignment vertical="center"/>
      <protection locked="0"/>
    </xf>
    <xf numFmtId="0" fontId="7" fillId="4" borderId="17" xfId="0" applyFont="1" applyFill="1" applyBorder="1" applyAlignment="1">
      <alignment vertical="center" textRotation="255" wrapText="1"/>
    </xf>
    <xf numFmtId="15" fontId="9" fillId="0" borderId="9" xfId="0" applyNumberFormat="1" applyFont="1" applyFill="1" applyBorder="1" applyAlignment="1" applyProtection="1">
      <alignment horizontal="center" vertical="top" wrapText="1"/>
      <protection locked="0"/>
    </xf>
    <xf numFmtId="0" fontId="9" fillId="0" borderId="9" xfId="0" applyFont="1" applyFill="1" applyBorder="1" applyAlignment="1" applyProtection="1">
      <alignment horizontal="center" vertical="top" wrapText="1"/>
      <protection locked="0"/>
    </xf>
    <xf numFmtId="0" fontId="9" fillId="0" borderId="10" xfId="0" applyFont="1" applyFill="1" applyBorder="1" applyAlignment="1" applyProtection="1">
      <alignment horizontal="center" vertical="top" wrapText="1"/>
      <protection locked="0"/>
    </xf>
    <xf numFmtId="0" fontId="13" fillId="0" borderId="13" xfId="0" applyFont="1" applyFill="1" applyBorder="1" applyAlignment="1" applyProtection="1">
      <alignment horizontal="center" vertical="center"/>
      <protection locked="0"/>
    </xf>
    <xf numFmtId="0" fontId="13" fillId="0" borderId="14" xfId="0" applyFont="1" applyFill="1" applyBorder="1" applyAlignment="1" applyProtection="1">
      <alignment horizontal="center" vertical="center"/>
      <protection locked="0"/>
    </xf>
    <xf numFmtId="0" fontId="19" fillId="0" borderId="8" xfId="0" applyFont="1" applyFill="1" applyBorder="1" applyAlignment="1">
      <alignment horizontal="left" vertical="center"/>
    </xf>
    <xf numFmtId="0" fontId="19" fillId="0" borderId="9" xfId="0" applyFont="1" applyFill="1" applyBorder="1" applyAlignment="1">
      <alignment horizontal="left" vertical="center"/>
    </xf>
    <xf numFmtId="0" fontId="19" fillId="0" borderId="10" xfId="0" applyFont="1" applyFill="1" applyBorder="1" applyAlignment="1">
      <alignment horizontal="left" vertical="center"/>
    </xf>
    <xf numFmtId="0" fontId="11" fillId="0" borderId="1" xfId="0" applyFont="1" applyFill="1" applyBorder="1" applyAlignment="1" applyProtection="1">
      <alignment horizontal="center" wrapText="1"/>
      <protection locked="0"/>
    </xf>
    <xf numFmtId="0" fontId="11" fillId="0" borderId="2" xfId="0" applyFont="1" applyFill="1" applyBorder="1" applyAlignment="1" applyProtection="1">
      <alignment horizontal="center" wrapText="1"/>
      <protection locked="0"/>
    </xf>
    <xf numFmtId="0" fontId="11" fillId="0" borderId="4" xfId="0" applyFont="1" applyFill="1" applyBorder="1" applyAlignment="1" applyProtection="1">
      <alignment horizontal="center" wrapText="1"/>
      <protection locked="0"/>
    </xf>
    <xf numFmtId="0" fontId="11" fillId="0" borderId="5" xfId="0" applyFont="1" applyFill="1" applyBorder="1" applyAlignment="1" applyProtection="1">
      <alignment horizontal="center" wrapText="1"/>
      <protection locked="0"/>
    </xf>
    <xf numFmtId="0" fontId="11" fillId="0" borderId="0" xfId="0" applyFont="1" applyFill="1" applyBorder="1" applyAlignment="1" applyProtection="1">
      <alignment horizontal="center" wrapText="1"/>
      <protection locked="0"/>
    </xf>
    <xf numFmtId="0" fontId="11" fillId="0" borderId="11" xfId="0" applyFont="1" applyFill="1" applyBorder="1" applyAlignment="1" applyProtection="1">
      <alignment horizontal="center" wrapText="1"/>
      <protection locked="0"/>
    </xf>
    <xf numFmtId="0" fontId="11" fillId="0" borderId="36" xfId="0" applyFont="1" applyFill="1" applyBorder="1" applyAlignment="1" applyProtection="1">
      <alignment horizontal="center" wrapText="1"/>
      <protection locked="0"/>
    </xf>
    <xf numFmtId="0" fontId="11" fillId="0" borderId="37" xfId="0" applyFont="1" applyFill="1" applyBorder="1" applyAlignment="1" applyProtection="1">
      <alignment horizontal="center" wrapText="1"/>
      <protection locked="0"/>
    </xf>
    <xf numFmtId="0" fontId="11" fillId="0" borderId="40" xfId="0" applyFont="1" applyFill="1" applyBorder="1" applyAlignment="1" applyProtection="1">
      <alignment horizontal="center" wrapText="1"/>
      <protection locked="0"/>
    </xf>
    <xf numFmtId="0" fontId="14" fillId="2" borderId="8" xfId="0" applyFont="1" applyFill="1" applyBorder="1" applyAlignment="1">
      <alignment horizontal="center" vertical="center"/>
    </xf>
    <xf numFmtId="0" fontId="14" fillId="2" borderId="9" xfId="0" applyFont="1" applyFill="1" applyBorder="1" applyAlignment="1">
      <alignment horizontal="center" vertical="center"/>
    </xf>
    <xf numFmtId="0" fontId="14" fillId="2" borderId="10" xfId="0" applyFont="1" applyFill="1" applyBorder="1" applyAlignment="1">
      <alignment horizontal="center" vertical="center"/>
    </xf>
    <xf numFmtId="0" fontId="12" fillId="2" borderId="13" xfId="0" applyFont="1" applyFill="1" applyBorder="1" applyAlignment="1" applyProtection="1">
      <alignment horizontal="center" vertical="center"/>
      <protection locked="0"/>
    </xf>
    <xf numFmtId="0" fontId="12" fillId="2" borderId="57" xfId="0" applyFont="1" applyFill="1" applyBorder="1" applyAlignment="1" applyProtection="1">
      <alignment horizontal="center" vertical="center"/>
      <protection locked="0"/>
    </xf>
    <xf numFmtId="0" fontId="12" fillId="2" borderId="14" xfId="0" applyFont="1" applyFill="1" applyBorder="1" applyAlignment="1" applyProtection="1">
      <alignment horizontal="center" vertical="center"/>
      <protection locked="0"/>
    </xf>
    <xf numFmtId="0" fontId="10" fillId="3" borderId="20" xfId="0" applyFont="1" applyFill="1" applyBorder="1" applyAlignment="1">
      <alignment horizontal="center" vertical="top"/>
    </xf>
    <xf numFmtId="0" fontId="10" fillId="3" borderId="21" xfId="0" applyFont="1" applyFill="1" applyBorder="1" applyAlignment="1">
      <alignment horizontal="center" vertical="top"/>
    </xf>
    <xf numFmtId="0" fontId="12" fillId="0" borderId="1" xfId="0" applyFont="1" applyFill="1" applyBorder="1" applyAlignment="1" applyProtection="1">
      <alignment horizontal="left" vertical="center"/>
      <protection locked="0"/>
    </xf>
    <xf numFmtId="0" fontId="12" fillId="0" borderId="2" xfId="0" applyFont="1" applyFill="1" applyBorder="1" applyAlignment="1" applyProtection="1">
      <alignment horizontal="left" vertical="center"/>
      <protection locked="0"/>
    </xf>
    <xf numFmtId="0" fontId="12" fillId="0" borderId="4" xfId="0" applyFont="1" applyFill="1" applyBorder="1" applyAlignment="1" applyProtection="1">
      <alignment horizontal="left" vertical="center"/>
      <protection locked="0"/>
    </xf>
    <xf numFmtId="0" fontId="12" fillId="0" borderId="1" xfId="0" applyFont="1" applyFill="1" applyBorder="1" applyAlignment="1" applyProtection="1">
      <alignment horizontal="center" vertical="center"/>
      <protection locked="0"/>
    </xf>
    <xf numFmtId="0" fontId="12" fillId="0" borderId="2" xfId="0" applyFont="1" applyFill="1" applyBorder="1" applyAlignment="1" applyProtection="1">
      <alignment horizontal="center" vertical="center"/>
      <protection locked="0"/>
    </xf>
    <xf numFmtId="0" fontId="12" fillId="0" borderId="34" xfId="0" applyFont="1" applyFill="1" applyBorder="1" applyAlignment="1" applyProtection="1">
      <alignment horizontal="center" vertical="center"/>
      <protection locked="0"/>
    </xf>
    <xf numFmtId="0" fontId="12" fillId="0" borderId="36" xfId="0" applyFont="1" applyFill="1" applyBorder="1" applyAlignment="1" applyProtection="1">
      <alignment horizontal="center" vertical="center"/>
      <protection locked="0"/>
    </xf>
    <xf numFmtId="0" fontId="12" fillId="0" borderId="37" xfId="0" applyFont="1" applyFill="1" applyBorder="1" applyAlignment="1" applyProtection="1">
      <alignment horizontal="center" vertical="center"/>
      <protection locked="0"/>
    </xf>
    <xf numFmtId="0" fontId="12" fillId="0" borderId="38" xfId="0" applyFont="1" applyFill="1" applyBorder="1" applyAlignment="1" applyProtection="1">
      <alignment horizontal="center" vertical="center"/>
      <protection locked="0"/>
    </xf>
    <xf numFmtId="0" fontId="0" fillId="0" borderId="29" xfId="0" applyBorder="1" applyAlignment="1">
      <alignment horizontal="center" vertical="center"/>
    </xf>
    <xf numFmtId="0" fontId="0" fillId="0" borderId="0" xfId="0" applyAlignment="1">
      <alignment horizontal="center" vertical="center"/>
    </xf>
    <xf numFmtId="0" fontId="0" fillId="0" borderId="11" xfId="0" applyBorder="1" applyAlignment="1">
      <alignment horizontal="center" vertical="center"/>
    </xf>
    <xf numFmtId="0" fontId="0" fillId="0" borderId="39" xfId="0" applyBorder="1" applyAlignment="1">
      <alignment horizontal="center" vertical="center"/>
    </xf>
    <xf numFmtId="0" fontId="0" fillId="0" borderId="37" xfId="0" applyBorder="1" applyAlignment="1">
      <alignment horizontal="center" vertical="center"/>
    </xf>
    <xf numFmtId="0" fontId="0" fillId="0" borderId="40" xfId="0" applyBorder="1" applyAlignment="1">
      <alignment horizontal="center" vertical="center"/>
    </xf>
    <xf numFmtId="0" fontId="12" fillId="0" borderId="5" xfId="0" applyFont="1" applyFill="1" applyBorder="1" applyAlignment="1" applyProtection="1">
      <alignment vertical="center"/>
      <protection locked="0"/>
    </xf>
    <xf numFmtId="0" fontId="12" fillId="0" borderId="0" xfId="0" applyFont="1" applyFill="1" applyBorder="1" applyAlignment="1" applyProtection="1">
      <alignment vertical="center"/>
      <protection locked="0"/>
    </xf>
    <xf numFmtId="0" fontId="12" fillId="0" borderId="11" xfId="0" applyFont="1" applyFill="1" applyBorder="1" applyAlignment="1" applyProtection="1">
      <alignment vertical="center"/>
      <protection locked="0"/>
    </xf>
    <xf numFmtId="0" fontId="12" fillId="0" borderId="36" xfId="0" applyFont="1" applyFill="1" applyBorder="1" applyAlignment="1" applyProtection="1">
      <alignment horizontal="left" vertical="center"/>
      <protection locked="0"/>
    </xf>
    <xf numFmtId="0" fontId="12" fillId="0" borderId="37" xfId="0" applyFont="1" applyFill="1" applyBorder="1" applyAlignment="1" applyProtection="1">
      <alignment horizontal="left" vertical="center"/>
      <protection locked="0"/>
    </xf>
    <xf numFmtId="0" fontId="12" fillId="0" borderId="40" xfId="0" applyFont="1" applyFill="1" applyBorder="1" applyAlignment="1" applyProtection="1">
      <alignment horizontal="left" vertical="center"/>
      <protection locked="0"/>
    </xf>
    <xf numFmtId="0" fontId="13" fillId="0" borderId="13" xfId="0" applyFont="1" applyFill="1" applyBorder="1" applyAlignment="1" applyProtection="1">
      <alignment vertical="center"/>
      <protection locked="0"/>
    </xf>
    <xf numFmtId="0" fontId="13" fillId="0" borderId="14" xfId="0" applyFont="1" applyFill="1" applyBorder="1" applyAlignment="1" applyProtection="1">
      <alignment vertical="center"/>
      <protection locked="0"/>
    </xf>
    <xf numFmtId="0" fontId="13" fillId="0" borderId="15" xfId="0" applyFont="1" applyFill="1" applyBorder="1" applyAlignment="1" applyProtection="1">
      <alignment vertical="center"/>
      <protection locked="0"/>
    </xf>
    <xf numFmtId="0" fontId="12" fillId="0" borderId="13" xfId="0" applyFont="1" applyFill="1" applyBorder="1" applyAlignment="1" applyProtection="1">
      <alignment vertical="center"/>
      <protection locked="0"/>
    </xf>
    <xf numFmtId="0" fontId="12" fillId="0" borderId="14" xfId="0" applyFont="1" applyFill="1" applyBorder="1" applyAlignment="1" applyProtection="1">
      <alignment vertical="center"/>
      <protection locked="0"/>
    </xf>
    <xf numFmtId="0" fontId="12" fillId="0" borderId="15" xfId="0" applyFont="1" applyFill="1" applyBorder="1" applyAlignment="1" applyProtection="1">
      <alignment vertical="center"/>
      <protection locked="0"/>
    </xf>
    <xf numFmtId="0" fontId="12" fillId="0" borderId="13" xfId="0" applyFont="1" applyFill="1" applyBorder="1" applyAlignment="1" applyProtection="1">
      <alignment horizontal="center" vertical="center"/>
      <protection locked="0"/>
    </xf>
    <xf numFmtId="0" fontId="12" fillId="0" borderId="14" xfId="0" applyFont="1" applyFill="1" applyBorder="1" applyAlignment="1" applyProtection="1">
      <alignment horizontal="center" vertical="center"/>
      <protection locked="0"/>
    </xf>
    <xf numFmtId="0" fontId="12" fillId="3" borderId="12" xfId="0" applyFont="1" applyFill="1" applyBorder="1" applyAlignment="1">
      <alignment horizontal="center" vertical="top"/>
    </xf>
    <xf numFmtId="0" fontId="12" fillId="3" borderId="16" xfId="0" applyFont="1" applyFill="1" applyBorder="1" applyAlignment="1">
      <alignment horizontal="center" vertical="top"/>
    </xf>
    <xf numFmtId="0" fontId="12" fillId="3" borderId="30" xfId="0" applyFont="1" applyFill="1" applyBorder="1" applyAlignment="1">
      <alignment horizontal="center" vertical="top"/>
    </xf>
    <xf numFmtId="0" fontId="12" fillId="3" borderId="31" xfId="0" applyFont="1" applyFill="1" applyBorder="1" applyAlignment="1">
      <alignment vertical="top"/>
    </xf>
    <xf numFmtId="0" fontId="12" fillId="3" borderId="16" xfId="0" applyFont="1" applyFill="1" applyBorder="1" applyAlignment="1">
      <alignment vertical="top"/>
    </xf>
    <xf numFmtId="0" fontId="12" fillId="3" borderId="30" xfId="0" applyFont="1" applyFill="1" applyBorder="1" applyAlignment="1">
      <alignment vertical="top"/>
    </xf>
    <xf numFmtId="0" fontId="12" fillId="2" borderId="13" xfId="0" applyFont="1" applyFill="1" applyBorder="1" applyAlignment="1" applyProtection="1">
      <alignment vertical="center"/>
      <protection locked="0"/>
    </xf>
    <xf numFmtId="0" fontId="12" fillId="2" borderId="14" xfId="0" applyFont="1" applyFill="1" applyBorder="1" applyAlignment="1" applyProtection="1">
      <alignment vertical="center"/>
      <protection locked="0"/>
    </xf>
    <xf numFmtId="0" fontId="12" fillId="2" borderId="15" xfId="0" applyFont="1" applyFill="1" applyBorder="1" applyAlignment="1" applyProtection="1">
      <alignment vertical="center"/>
      <protection locked="0"/>
    </xf>
    <xf numFmtId="0" fontId="1" fillId="2" borderId="1" xfId="0" applyFont="1" applyFill="1" applyBorder="1" applyAlignment="1">
      <alignment horizontal="left"/>
    </xf>
    <xf numFmtId="0" fontId="1" fillId="2" borderId="2" xfId="0" applyFont="1" applyFill="1" applyBorder="1" applyAlignment="1">
      <alignment horizontal="left"/>
    </xf>
    <xf numFmtId="0" fontId="1" fillId="2" borderId="5" xfId="0" applyFont="1" applyFill="1" applyBorder="1" applyAlignment="1">
      <alignment horizontal="left"/>
    </xf>
    <xf numFmtId="0" fontId="1" fillId="2" borderId="0" xfId="0" applyFont="1" applyFill="1" applyBorder="1" applyAlignment="1">
      <alignment horizontal="left"/>
    </xf>
    <xf numFmtId="0" fontId="5" fillId="2" borderId="3" xfId="0" applyFont="1" applyFill="1" applyBorder="1" applyAlignment="1">
      <alignment horizontal="center" vertical="top"/>
    </xf>
    <xf numFmtId="0" fontId="5" fillId="2" borderId="4" xfId="0" applyFont="1" applyFill="1" applyBorder="1" applyAlignment="1">
      <alignment horizontal="center" vertical="top"/>
    </xf>
    <xf numFmtId="0" fontId="6" fillId="0" borderId="6" xfId="0" applyFont="1" applyFill="1" applyBorder="1" applyAlignment="1" applyProtection="1">
      <alignment horizontal="center" vertical="center"/>
      <protection locked="0"/>
    </xf>
    <xf numFmtId="0" fontId="6" fillId="0" borderId="7" xfId="0" applyFont="1" applyFill="1" applyBorder="1" applyAlignment="1" applyProtection="1">
      <alignment horizontal="center" vertical="center"/>
      <protection locked="0"/>
    </xf>
    <xf numFmtId="0" fontId="7" fillId="0" borderId="8" xfId="0" applyFont="1" applyBorder="1" applyAlignment="1">
      <alignment horizontal="center" wrapText="1"/>
    </xf>
    <xf numFmtId="0" fontId="7" fillId="0" borderId="9" xfId="0" applyFont="1" applyBorder="1" applyAlignment="1">
      <alignment horizontal="center" wrapText="1"/>
    </xf>
    <xf numFmtId="0" fontId="7" fillId="0" borderId="10" xfId="0" applyFont="1" applyBorder="1" applyAlignment="1">
      <alignment horizontal="center" wrapText="1"/>
    </xf>
    <xf numFmtId="0" fontId="7" fillId="3" borderId="12" xfId="0" applyFont="1" applyFill="1" applyBorder="1" applyAlignment="1">
      <alignment horizontal="center" vertical="center" textRotation="255" wrapText="1"/>
    </xf>
    <xf numFmtId="0" fontId="7" fillId="3" borderId="5" xfId="0" applyFont="1" applyFill="1" applyBorder="1" applyAlignment="1">
      <alignment horizontal="center" vertical="center" textRotation="255" wrapText="1"/>
    </xf>
    <xf numFmtId="0" fontId="7" fillId="3" borderId="25" xfId="0" applyFont="1" applyFill="1" applyBorder="1" applyAlignment="1">
      <alignment horizontal="center" vertical="center" textRotation="255" wrapText="1"/>
    </xf>
    <xf numFmtId="0" fontId="9" fillId="0" borderId="13" xfId="0" applyFont="1" applyFill="1" applyBorder="1" applyAlignment="1" applyProtection="1">
      <alignment horizontal="center" vertical="top" wrapText="1"/>
      <protection locked="0"/>
    </xf>
    <xf numFmtId="0" fontId="9" fillId="0" borderId="14" xfId="0" applyFont="1" applyFill="1" applyBorder="1" applyAlignment="1" applyProtection="1">
      <alignment horizontal="center" vertical="top" wrapText="1"/>
      <protection locked="0"/>
    </xf>
    <xf numFmtId="0" fontId="9" fillId="0" borderId="15" xfId="0" applyFont="1" applyFill="1" applyBorder="1" applyAlignment="1" applyProtection="1">
      <alignment horizontal="center" vertical="top" wrapText="1"/>
      <protection locked="0"/>
    </xf>
    <xf numFmtId="0" fontId="7" fillId="3" borderId="16" xfId="0" applyFont="1" applyFill="1" applyBorder="1" applyAlignment="1">
      <alignment horizontal="center" vertical="center" textRotation="255" wrapText="1"/>
    </xf>
    <xf numFmtId="0" fontId="7" fillId="3" borderId="0" xfId="0" applyFont="1" applyFill="1" applyBorder="1" applyAlignment="1">
      <alignment horizontal="center" vertical="center" textRotation="255" wrapText="1"/>
    </xf>
    <xf numFmtId="0" fontId="7" fillId="3" borderId="28" xfId="0" applyFont="1" applyFill="1" applyBorder="1" applyAlignment="1">
      <alignment horizontal="center" vertical="center" textRotation="255" wrapText="1"/>
    </xf>
    <xf numFmtId="0" fontId="12" fillId="3" borderId="45" xfId="0" applyFont="1" applyFill="1" applyBorder="1" applyAlignment="1">
      <alignment horizontal="center" vertical="center"/>
    </xf>
    <xf numFmtId="0" fontId="12" fillId="3" borderId="9" xfId="0" applyFont="1" applyFill="1" applyBorder="1" applyAlignment="1">
      <alignment horizontal="center" vertical="center"/>
    </xf>
    <xf numFmtId="0" fontId="12" fillId="3" borderId="46" xfId="0" applyFont="1" applyFill="1" applyBorder="1" applyAlignment="1">
      <alignment horizontal="center" vertical="center"/>
    </xf>
    <xf numFmtId="0" fontId="9" fillId="3" borderId="18" xfId="0" applyFont="1" applyFill="1" applyBorder="1" applyAlignment="1">
      <alignment horizontal="center" vertical="top" wrapText="1"/>
    </xf>
    <xf numFmtId="0" fontId="9" fillId="3" borderId="19" xfId="0" applyFont="1" applyFill="1" applyBorder="1" applyAlignment="1">
      <alignment horizontal="center" vertical="top" wrapText="1"/>
    </xf>
    <xf numFmtId="0" fontId="0" fillId="0" borderId="14" xfId="0" applyFill="1" applyBorder="1" applyAlignment="1">
      <alignment horizontal="center" vertical="center"/>
    </xf>
    <xf numFmtId="0" fontId="0" fillId="0" borderId="15" xfId="0" applyFill="1" applyBorder="1" applyAlignment="1">
      <alignment horizontal="center" vertical="center"/>
    </xf>
    <xf numFmtId="0" fontId="35" fillId="0" borderId="14" xfId="1" applyFill="1" applyBorder="1" applyAlignment="1" applyProtection="1">
      <alignment horizontal="center" vertical="center"/>
    </xf>
    <xf numFmtId="0" fontId="35" fillId="0" borderId="15" xfId="1" applyFill="1" applyBorder="1" applyAlignment="1" applyProtection="1">
      <alignment horizontal="center" vertical="center"/>
    </xf>
    <xf numFmtId="0" fontId="10" fillId="2" borderId="16" xfId="0" applyFont="1" applyFill="1" applyBorder="1" applyAlignment="1" applyProtection="1">
      <alignment horizontal="center" vertical="center"/>
      <protection locked="0"/>
    </xf>
    <xf numFmtId="0" fontId="10" fillId="2" borderId="24" xfId="0" applyFont="1" applyFill="1" applyBorder="1" applyAlignment="1" applyProtection="1">
      <alignment horizontal="center" vertical="center"/>
      <protection locked="0"/>
    </xf>
    <xf numFmtId="0" fontId="0" fillId="0" borderId="26" xfId="0" applyFill="1" applyBorder="1" applyAlignment="1">
      <alignment horizontal="center" vertical="center"/>
    </xf>
    <xf numFmtId="0" fontId="0" fillId="0" borderId="27" xfId="0" applyFill="1" applyBorder="1" applyAlignment="1">
      <alignment horizontal="center" vertical="center"/>
    </xf>
    <xf numFmtId="0" fontId="10" fillId="2" borderId="0" xfId="0" applyFont="1" applyFill="1" applyBorder="1" applyAlignment="1" applyProtection="1">
      <alignment horizontal="center" vertical="center"/>
      <protection locked="0"/>
    </xf>
    <xf numFmtId="0" fontId="10" fillId="2" borderId="11" xfId="0" applyFont="1" applyFill="1" applyBorder="1" applyAlignment="1" applyProtection="1">
      <alignment horizontal="center" vertical="center"/>
      <protection locked="0"/>
    </xf>
    <xf numFmtId="0" fontId="9" fillId="0" borderId="17" xfId="0" applyFont="1" applyFill="1" applyBorder="1" applyAlignment="1" applyProtection="1">
      <alignment horizontal="left" vertical="top" wrapText="1"/>
      <protection locked="0"/>
    </xf>
    <xf numFmtId="0" fontId="10" fillId="4" borderId="22" xfId="0" applyFont="1" applyFill="1" applyBorder="1" applyAlignment="1" applyProtection="1">
      <alignment horizontal="center" vertical="top"/>
      <protection locked="0"/>
    </xf>
    <xf numFmtId="0" fontId="10" fillId="4" borderId="23" xfId="0" applyFont="1" applyFill="1" applyBorder="1" applyAlignment="1" applyProtection="1">
      <alignment horizontal="center" vertical="top"/>
      <protection locked="0"/>
    </xf>
    <xf numFmtId="0" fontId="11" fillId="2" borderId="29" xfId="0" applyFont="1" applyFill="1" applyBorder="1" applyAlignment="1">
      <alignment horizontal="left" vertical="center"/>
    </xf>
    <xf numFmtId="0" fontId="11" fillId="2" borderId="0" xfId="0" applyFont="1" applyFill="1" applyBorder="1" applyAlignment="1">
      <alignment horizontal="left" vertical="center"/>
    </xf>
    <xf numFmtId="0" fontId="11" fillId="2" borderId="11" xfId="0" applyFont="1" applyFill="1" applyBorder="1" applyAlignment="1">
      <alignment horizontal="left" vertical="center"/>
    </xf>
    <xf numFmtId="0" fontId="31" fillId="0" borderId="0" xfId="0" applyFont="1" applyFill="1" applyBorder="1" applyAlignment="1">
      <alignment horizontal="center" vertical="center"/>
    </xf>
    <xf numFmtId="0" fontId="12" fillId="0" borderId="17" xfId="0" applyFont="1" applyFill="1" applyBorder="1" applyAlignment="1" applyProtection="1">
      <alignment vertical="center"/>
      <protection locked="0"/>
    </xf>
    <xf numFmtId="0" fontId="12" fillId="0" borderId="17" xfId="0" applyFont="1" applyFill="1" applyBorder="1" applyAlignment="1" applyProtection="1">
      <alignment horizontal="center" vertical="center"/>
      <protection locked="0"/>
    </xf>
    <xf numFmtId="0" fontId="12" fillId="0" borderId="54" xfId="0" applyFont="1" applyFill="1" applyBorder="1" applyAlignment="1" applyProtection="1">
      <alignment horizontal="center" vertical="center"/>
      <protection locked="0"/>
    </xf>
    <xf numFmtId="0" fontId="12" fillId="0" borderId="50" xfId="0" applyFont="1" applyFill="1" applyBorder="1" applyAlignment="1" applyProtection="1">
      <alignment horizontal="center" vertical="center"/>
      <protection locked="0"/>
    </xf>
    <xf numFmtId="0" fontId="12" fillId="0" borderId="51" xfId="0" applyFont="1" applyFill="1" applyBorder="1" applyAlignment="1" applyProtection="1">
      <alignment horizontal="center" vertical="center"/>
      <protection locked="0"/>
    </xf>
    <xf numFmtId="0" fontId="12" fillId="0" borderId="50" xfId="0" applyFont="1" applyFill="1" applyBorder="1" applyAlignment="1" applyProtection="1">
      <alignment vertical="center"/>
      <protection locked="0"/>
    </xf>
    <xf numFmtId="0" fontId="12" fillId="0" borderId="51" xfId="0" applyFont="1" applyFill="1" applyBorder="1" applyAlignment="1" applyProtection="1">
      <alignment vertical="center"/>
      <protection locked="0"/>
    </xf>
    <xf numFmtId="0" fontId="12" fillId="0" borderId="52" xfId="0" applyFont="1" applyFill="1" applyBorder="1" applyAlignment="1" applyProtection="1">
      <alignment vertical="center"/>
      <protection locked="0"/>
    </xf>
    <xf numFmtId="0" fontId="15" fillId="2" borderId="1" xfId="0" applyFont="1" applyFill="1" applyBorder="1" applyAlignment="1">
      <alignment horizontal="left" vertical="center" wrapText="1"/>
    </xf>
    <xf numFmtId="0" fontId="15" fillId="2" borderId="2" xfId="0" applyFont="1" applyFill="1" applyBorder="1" applyAlignment="1">
      <alignment horizontal="left" vertical="center" wrapText="1"/>
    </xf>
    <xf numFmtId="0" fontId="15" fillId="2" borderId="4" xfId="0" applyFont="1" applyFill="1" applyBorder="1" applyAlignment="1">
      <alignment horizontal="left" vertical="center" wrapText="1"/>
    </xf>
    <xf numFmtId="0" fontId="15" fillId="2" borderId="5" xfId="0" applyFont="1" applyFill="1" applyBorder="1" applyAlignment="1">
      <alignment horizontal="left" vertical="center" wrapText="1"/>
    </xf>
    <xf numFmtId="0" fontId="15" fillId="2" borderId="0" xfId="0" applyFont="1" applyFill="1" applyBorder="1" applyAlignment="1">
      <alignment horizontal="left" vertical="center" wrapText="1"/>
    </xf>
    <xf numFmtId="0" fontId="15" fillId="2" borderId="11" xfId="0" applyFont="1" applyFill="1" applyBorder="1" applyAlignment="1">
      <alignment horizontal="left" vertical="center" wrapText="1"/>
    </xf>
    <xf numFmtId="0" fontId="15" fillId="2" borderId="36" xfId="0" applyFont="1" applyFill="1" applyBorder="1" applyAlignment="1">
      <alignment horizontal="left" vertical="center" wrapText="1"/>
    </xf>
    <xf numFmtId="0" fontId="15" fillId="2" borderId="37" xfId="0" applyFont="1" applyFill="1" applyBorder="1" applyAlignment="1">
      <alignment horizontal="left" vertical="center" wrapText="1"/>
    </xf>
    <xf numFmtId="0" fontId="15" fillId="2" borderId="40" xfId="0" applyFont="1" applyFill="1" applyBorder="1" applyAlignment="1">
      <alignment horizontal="left" vertical="center" wrapText="1"/>
    </xf>
    <xf numFmtId="0" fontId="21" fillId="2" borderId="1" xfId="0" applyFont="1" applyFill="1" applyBorder="1" applyAlignment="1">
      <alignment horizontal="left" vertical="center" wrapText="1"/>
    </xf>
    <xf numFmtId="0" fontId="21" fillId="2" borderId="2" xfId="0" applyFont="1" applyFill="1" applyBorder="1" applyAlignment="1">
      <alignment horizontal="left" vertical="center" wrapText="1"/>
    </xf>
    <xf numFmtId="0" fontId="21" fillId="2" borderId="4" xfId="0" applyFont="1" applyFill="1" applyBorder="1" applyAlignment="1">
      <alignment horizontal="left" vertical="center" wrapText="1"/>
    </xf>
    <xf numFmtId="0" fontId="21" fillId="2" borderId="5" xfId="0" applyFont="1" applyFill="1" applyBorder="1" applyAlignment="1">
      <alignment horizontal="left" vertical="center" wrapText="1"/>
    </xf>
    <xf numFmtId="0" fontId="21" fillId="2" borderId="0" xfId="0" applyFont="1" applyFill="1" applyBorder="1" applyAlignment="1">
      <alignment horizontal="left" vertical="center" wrapText="1"/>
    </xf>
    <xf numFmtId="0" fontId="21" fillId="2" borderId="11" xfId="0" applyFont="1" applyFill="1" applyBorder="1" applyAlignment="1">
      <alignment horizontal="left" vertical="center" wrapText="1"/>
    </xf>
    <xf numFmtId="0" fontId="21" fillId="2" borderId="36" xfId="0" applyFont="1" applyFill="1" applyBorder="1" applyAlignment="1">
      <alignment horizontal="left" vertical="center" wrapText="1"/>
    </xf>
    <xf numFmtId="0" fontId="21" fillId="2" borderId="37" xfId="0" applyFont="1" applyFill="1" applyBorder="1" applyAlignment="1">
      <alignment horizontal="left" vertical="center" wrapText="1"/>
    </xf>
    <xf numFmtId="0" fontId="21" fillId="2" borderId="40" xfId="0" applyFont="1" applyFill="1" applyBorder="1" applyAlignment="1">
      <alignment horizontal="left" vertical="center" wrapText="1"/>
    </xf>
    <xf numFmtId="0" fontId="12" fillId="2" borderId="55" xfId="0" applyFont="1" applyFill="1" applyBorder="1" applyAlignment="1" applyProtection="1">
      <alignment horizontal="center" vertical="center"/>
      <protection locked="0"/>
    </xf>
    <xf numFmtId="0" fontId="12" fillId="2" borderId="26" xfId="0" applyFont="1" applyFill="1" applyBorder="1" applyAlignment="1" applyProtection="1">
      <alignment horizontal="center" vertical="center"/>
      <protection locked="0"/>
    </xf>
    <xf numFmtId="0" fontId="12" fillId="2" borderId="59" xfId="0" applyFont="1" applyFill="1" applyBorder="1" applyAlignment="1" applyProtection="1">
      <alignment horizontal="center" vertical="center"/>
      <protection locked="0"/>
    </xf>
    <xf numFmtId="0" fontId="12" fillId="2" borderId="17" xfId="0" applyFont="1" applyFill="1" applyBorder="1" applyAlignment="1" applyProtection="1">
      <alignment vertical="center"/>
      <protection locked="0"/>
    </xf>
    <xf numFmtId="164" fontId="28" fillId="0" borderId="0" xfId="0" applyNumberFormat="1" applyFont="1" applyFill="1" applyBorder="1" applyAlignment="1">
      <alignment horizontal="center"/>
    </xf>
    <xf numFmtId="164" fontId="31" fillId="0" borderId="0" xfId="0" applyNumberFormat="1" applyFont="1" applyFill="1" applyBorder="1" applyAlignment="1">
      <alignment horizontal="center" vertical="center"/>
    </xf>
    <xf numFmtId="0" fontId="12" fillId="2" borderId="17" xfId="0" applyFont="1" applyFill="1" applyBorder="1" applyAlignment="1" applyProtection="1">
      <alignment horizontal="center" vertical="center"/>
      <protection locked="0"/>
    </xf>
    <xf numFmtId="0" fontId="12" fillId="2" borderId="54" xfId="0" applyFont="1" applyFill="1" applyBorder="1" applyAlignment="1" applyProtection="1">
      <alignment horizontal="center" vertical="center"/>
      <protection locked="0"/>
    </xf>
    <xf numFmtId="0" fontId="12" fillId="2" borderId="0" xfId="0" applyFont="1" applyFill="1" applyBorder="1" applyAlignment="1">
      <alignment vertical="center"/>
    </xf>
    <xf numFmtId="0" fontId="12" fillId="2" borderId="0" xfId="0" applyFont="1" applyFill="1" applyBorder="1" applyAlignment="1">
      <alignment horizontal="center" vertical="center"/>
    </xf>
    <xf numFmtId="0" fontId="19" fillId="0" borderId="0" xfId="0" applyFont="1" applyFill="1" applyBorder="1" applyAlignment="1">
      <alignment horizontal="center"/>
    </xf>
    <xf numFmtId="0" fontId="14" fillId="2" borderId="26" xfId="0" applyFont="1" applyFill="1" applyBorder="1" applyAlignment="1">
      <alignment horizontal="center" vertical="center"/>
    </xf>
    <xf numFmtId="0" fontId="14" fillId="2" borderId="59" xfId="0" applyFont="1" applyFill="1" applyBorder="1" applyAlignment="1">
      <alignment horizontal="center" vertical="center"/>
    </xf>
    <xf numFmtId="0" fontId="35" fillId="0" borderId="14" xfId="1" applyBorder="1" applyAlignment="1" applyProtection="1">
      <alignment horizontal="center" vertical="center"/>
    </xf>
    <xf numFmtId="0" fontId="35" fillId="0" borderId="15" xfId="1" applyBorder="1" applyAlignment="1" applyProtection="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9" fillId="4" borderId="17" xfId="0" applyFont="1" applyFill="1" applyBorder="1" applyAlignment="1" applyProtection="1">
      <alignment horizontal="left" vertical="top" wrapText="1"/>
      <protection locked="0"/>
    </xf>
  </cellXfs>
  <cellStyles count="2">
    <cellStyle name="Hyperlink" xfId="1" builtinId="8"/>
    <cellStyle name="Normal" xfId="0" builtinId="0"/>
  </cellStyles>
  <dxfs count="0"/>
  <tableStyles count="0"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0</xdr:row>
      <xdr:rowOff>76200</xdr:rowOff>
    </xdr:from>
    <xdr:to>
      <xdr:col>3</xdr:col>
      <xdr:colOff>203200</xdr:colOff>
      <xdr:row>1</xdr:row>
      <xdr:rowOff>12700</xdr:rowOff>
    </xdr:to>
    <xdr:pic>
      <xdr:nvPicPr>
        <xdr:cNvPr id="1025" name="Picture 2" descr="Psylo_Logo.tif"/>
        <xdr:cNvPicPr>
          <a:picLocks noChangeAspect="1"/>
        </xdr:cNvPicPr>
      </xdr:nvPicPr>
      <xdr:blipFill>
        <a:blip xmlns:r="http://schemas.openxmlformats.org/officeDocument/2006/relationships" r:embed="rId1"/>
        <a:srcRect/>
        <a:stretch>
          <a:fillRect/>
        </a:stretch>
      </xdr:blipFill>
      <xdr:spPr bwMode="auto">
        <a:xfrm>
          <a:off x="25400" y="76200"/>
          <a:ext cx="1663700" cy="190500"/>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25400</xdr:colOff>
      <xdr:row>0</xdr:row>
      <xdr:rowOff>76200</xdr:rowOff>
    </xdr:from>
    <xdr:to>
      <xdr:col>3</xdr:col>
      <xdr:colOff>203200</xdr:colOff>
      <xdr:row>1</xdr:row>
      <xdr:rowOff>12700</xdr:rowOff>
    </xdr:to>
    <xdr:pic>
      <xdr:nvPicPr>
        <xdr:cNvPr id="2049" name="Picture 1" descr="Psylo_Logo.tif"/>
        <xdr:cNvPicPr>
          <a:picLocks noChangeAspect="1"/>
        </xdr:cNvPicPr>
      </xdr:nvPicPr>
      <xdr:blipFill>
        <a:blip xmlns:r="http://schemas.openxmlformats.org/officeDocument/2006/relationships" r:embed="rId1"/>
        <a:srcRect/>
        <a:stretch>
          <a:fillRect/>
        </a:stretch>
      </xdr:blipFill>
      <xdr:spPr bwMode="auto">
        <a:xfrm>
          <a:off x="25400" y="76200"/>
          <a:ext cx="1663700" cy="19050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derek@roachclip.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mailto:derek@roachcli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enableFormatConditionsCalculation="0"/>
  <dimension ref="A1:AE950"/>
  <sheetViews>
    <sheetView tabSelected="1" topLeftCell="A22" zoomScale="90" zoomScaleNormal="90" zoomScalePageLayoutView="90" workbookViewId="0">
      <selection activeCell="U16" sqref="U16"/>
    </sheetView>
  </sheetViews>
  <sheetFormatPr defaultColWidth="8.85546875" defaultRowHeight="11.25" customHeight="1" x14ac:dyDescent="0.2"/>
  <cols>
    <col min="1" max="1" width="3.140625" style="76" customWidth="1"/>
    <col min="2" max="2" width="7.7109375" style="76" customWidth="1"/>
    <col min="3" max="3" width="8.7109375" style="76" customWidth="1"/>
    <col min="4" max="4" width="8.85546875" style="76" customWidth="1"/>
    <col min="5" max="5" width="7.42578125" style="76" customWidth="1"/>
    <col min="6" max="6" width="4.140625" style="76" customWidth="1"/>
    <col min="7" max="7" width="13.42578125" style="76" customWidth="1"/>
    <col min="8" max="14" width="3.42578125" style="76" customWidth="1"/>
    <col min="15" max="15" width="6.42578125" style="76" customWidth="1"/>
    <col min="16" max="16" width="8" style="76" customWidth="1"/>
    <col min="17" max="17" width="10.42578125" style="76" customWidth="1"/>
    <col min="18" max="18" width="3.28515625" style="76" customWidth="1"/>
    <col min="19" max="19" width="7.85546875" style="76" customWidth="1"/>
    <col min="20" max="20" width="23.7109375" style="76" customWidth="1"/>
    <col min="21" max="21" width="16.28515625" style="76" customWidth="1"/>
    <col min="22" max="28" width="4.28515625" style="76" customWidth="1"/>
    <col min="29" max="29" width="5.7109375" style="76" customWidth="1"/>
    <col min="30" max="30" width="7.42578125" style="76" customWidth="1"/>
    <col min="31" max="31" width="13.140625" style="76" customWidth="1"/>
    <col min="32" max="16384" width="8.85546875" style="76"/>
  </cols>
  <sheetData>
    <row r="1" spans="1:31" s="75" customFormat="1" ht="20.25" customHeight="1" x14ac:dyDescent="0.2">
      <c r="A1" s="203" t="s">
        <v>57</v>
      </c>
      <c r="B1" s="204"/>
      <c r="C1" s="204"/>
      <c r="D1" s="204"/>
      <c r="E1" s="204"/>
      <c r="F1" s="204"/>
      <c r="G1" s="204"/>
      <c r="H1" s="204"/>
      <c r="I1" s="204"/>
      <c r="J1" s="204"/>
      <c r="K1" s="204"/>
      <c r="L1" s="204"/>
      <c r="M1" s="204"/>
      <c r="N1" s="204"/>
      <c r="O1" s="204"/>
      <c r="P1" s="207" t="s">
        <v>58</v>
      </c>
      <c r="Q1" s="208"/>
      <c r="S1" s="78"/>
      <c r="T1" s="78" t="s">
        <v>81</v>
      </c>
      <c r="U1" s="78"/>
      <c r="V1" s="78"/>
      <c r="W1" s="78"/>
      <c r="X1" s="78"/>
      <c r="Y1" s="78"/>
      <c r="Z1" s="78"/>
      <c r="AA1" s="78"/>
      <c r="AB1" s="78"/>
      <c r="AC1" s="78"/>
      <c r="AD1" s="79"/>
      <c r="AE1" s="78"/>
    </row>
    <row r="2" spans="1:31" s="75" customFormat="1" ht="20.25" customHeight="1" thickBot="1" x14ac:dyDescent="0.25">
      <c r="A2" s="205"/>
      <c r="B2" s="206"/>
      <c r="C2" s="206"/>
      <c r="D2" s="206"/>
      <c r="E2" s="206"/>
      <c r="F2" s="206"/>
      <c r="G2" s="206"/>
      <c r="H2" s="206"/>
      <c r="I2" s="206"/>
      <c r="J2" s="206"/>
      <c r="K2" s="206"/>
      <c r="L2" s="206"/>
      <c r="M2" s="206"/>
      <c r="N2" s="206"/>
      <c r="O2" s="206"/>
      <c r="P2" s="209">
        <v>1</v>
      </c>
      <c r="Q2" s="210"/>
      <c r="S2" s="78"/>
      <c r="T2" s="78" t="s">
        <v>82</v>
      </c>
      <c r="U2" s="78"/>
      <c r="V2" s="78"/>
      <c r="W2" s="78"/>
      <c r="X2" s="78"/>
      <c r="Y2" s="78"/>
      <c r="Z2" s="78"/>
      <c r="AA2" s="78"/>
      <c r="AB2" s="78"/>
      <c r="AC2" s="78"/>
      <c r="AD2" s="79"/>
      <c r="AE2" s="78"/>
    </row>
    <row r="3" spans="1:31" s="75" customFormat="1" ht="14.25" customHeight="1" thickBot="1" x14ac:dyDescent="0.25">
      <c r="A3" s="211" t="s">
        <v>59</v>
      </c>
      <c r="B3" s="212"/>
      <c r="C3" s="212"/>
      <c r="D3" s="212"/>
      <c r="E3" s="212"/>
      <c r="F3" s="212"/>
      <c r="G3" s="212"/>
      <c r="H3" s="212"/>
      <c r="I3" s="212"/>
      <c r="J3" s="212"/>
      <c r="K3" s="212"/>
      <c r="L3" s="212"/>
      <c r="M3" s="212"/>
      <c r="N3" s="212"/>
      <c r="O3" s="212"/>
      <c r="P3" s="212"/>
      <c r="Q3" s="213"/>
      <c r="R3" s="80"/>
      <c r="S3" s="102"/>
      <c r="T3" s="81"/>
      <c r="U3" s="81"/>
      <c r="V3" s="81"/>
      <c r="W3" s="81"/>
      <c r="X3" s="81"/>
      <c r="Y3" s="81"/>
      <c r="Z3" s="81"/>
      <c r="AA3" s="81"/>
      <c r="AB3" s="81"/>
      <c r="AC3" s="81"/>
      <c r="AD3" s="81"/>
      <c r="AE3" s="81"/>
    </row>
    <row r="4" spans="1:31" s="81" customFormat="1" ht="2.25" customHeight="1" thickBot="1" x14ac:dyDescent="0.25">
      <c r="A4" s="1"/>
      <c r="B4" s="2"/>
      <c r="C4" s="2"/>
      <c r="D4" s="2"/>
      <c r="E4" s="2"/>
      <c r="F4" s="2"/>
      <c r="G4" s="2"/>
      <c r="H4" s="2"/>
      <c r="I4" s="2"/>
      <c r="J4" s="2"/>
      <c r="K4" s="2"/>
      <c r="L4" s="2"/>
      <c r="M4" s="2"/>
      <c r="N4" s="2"/>
      <c r="O4" s="2"/>
      <c r="P4" s="2"/>
      <c r="Q4" s="3"/>
      <c r="S4" s="82"/>
      <c r="T4" s="82"/>
      <c r="U4" s="82"/>
      <c r="V4" s="82"/>
      <c r="W4" s="82"/>
      <c r="X4" s="82"/>
      <c r="Y4" s="82"/>
      <c r="Z4" s="82"/>
      <c r="AA4" s="82"/>
      <c r="AB4" s="82"/>
      <c r="AC4" s="82"/>
      <c r="AD4" s="83"/>
      <c r="AE4" s="82"/>
    </row>
    <row r="5" spans="1:31" s="84" customFormat="1" ht="12" customHeight="1" thickBot="1" x14ac:dyDescent="0.2">
      <c r="A5" s="214" t="s">
        <v>60</v>
      </c>
      <c r="B5" s="217" t="s">
        <v>1</v>
      </c>
      <c r="C5" s="218"/>
      <c r="D5" s="218"/>
      <c r="E5" s="219"/>
      <c r="F5" s="220" t="s">
        <v>61</v>
      </c>
      <c r="G5" s="139"/>
      <c r="H5" s="139"/>
      <c r="I5" s="139"/>
      <c r="J5" s="139"/>
      <c r="K5" s="139"/>
      <c r="L5" s="139"/>
      <c r="M5" s="139"/>
      <c r="N5" s="139"/>
      <c r="O5" s="226" t="s">
        <v>62</v>
      </c>
      <c r="P5" s="226"/>
      <c r="Q5" s="227"/>
      <c r="S5" s="85"/>
      <c r="T5" s="86"/>
      <c r="U5" s="86"/>
      <c r="V5" s="85"/>
      <c r="W5" s="87"/>
      <c r="X5" s="87"/>
      <c r="Y5" s="87"/>
      <c r="Z5" s="87"/>
      <c r="AA5" s="87"/>
      <c r="AB5" s="87"/>
      <c r="AC5" s="86"/>
      <c r="AD5" s="88"/>
      <c r="AE5" s="87"/>
    </row>
    <row r="6" spans="1:31" s="84" customFormat="1" ht="12" customHeight="1" thickBot="1" x14ac:dyDescent="0.2">
      <c r="A6" s="215"/>
      <c r="B6" s="228" t="s">
        <v>4</v>
      </c>
      <c r="C6" s="228"/>
      <c r="D6" s="228"/>
      <c r="E6" s="229"/>
      <c r="F6" s="221"/>
      <c r="G6" s="139"/>
      <c r="H6" s="139"/>
      <c r="I6" s="139"/>
      <c r="J6" s="139"/>
      <c r="K6" s="139"/>
      <c r="L6" s="139"/>
      <c r="M6" s="139"/>
      <c r="N6" s="139"/>
      <c r="O6" s="140"/>
      <c r="P6" s="141"/>
      <c r="Q6" s="142"/>
      <c r="S6" s="85"/>
      <c r="T6" s="86"/>
      <c r="U6" s="86"/>
      <c r="V6" s="85"/>
      <c r="W6" s="87"/>
      <c r="X6" s="87"/>
      <c r="Y6" s="87"/>
      <c r="Z6" s="87"/>
      <c r="AA6" s="87"/>
      <c r="AB6" s="87"/>
      <c r="AC6" s="87"/>
      <c r="AD6" s="88"/>
      <c r="AE6" s="87"/>
    </row>
    <row r="7" spans="1:31" s="84" customFormat="1" ht="12" customHeight="1" thickBot="1" x14ac:dyDescent="0.2">
      <c r="A7" s="215"/>
      <c r="B7" s="238" t="s">
        <v>46</v>
      </c>
      <c r="C7" s="238"/>
      <c r="D7" s="238"/>
      <c r="E7" s="238"/>
      <c r="F7" s="221"/>
      <c r="G7" s="139"/>
      <c r="H7" s="139"/>
      <c r="I7" s="139"/>
      <c r="J7" s="139"/>
      <c r="K7" s="139"/>
      <c r="L7" s="139"/>
      <c r="M7" s="139"/>
      <c r="N7" s="139"/>
      <c r="O7" s="163" t="s">
        <v>63</v>
      </c>
      <c r="P7" s="163"/>
      <c r="Q7" s="164"/>
      <c r="S7" s="85"/>
      <c r="T7" s="86"/>
      <c r="U7" s="86"/>
      <c r="V7" s="85"/>
      <c r="W7" s="87"/>
      <c r="X7" s="87"/>
      <c r="Y7" s="87"/>
      <c r="Z7" s="87"/>
      <c r="AA7" s="87"/>
      <c r="AB7" s="87"/>
      <c r="AC7" s="89"/>
      <c r="AD7" s="88"/>
      <c r="AE7" s="87"/>
    </row>
    <row r="8" spans="1:31" s="84" customFormat="1" ht="12" customHeight="1" thickTop="1" thickBot="1" x14ac:dyDescent="0.2">
      <c r="A8" s="215"/>
      <c r="B8" s="238" t="s">
        <v>47</v>
      </c>
      <c r="C8" s="238"/>
      <c r="D8" s="238"/>
      <c r="E8" s="238"/>
      <c r="F8" s="221"/>
      <c r="G8" s="139"/>
      <c r="H8" s="139"/>
      <c r="I8" s="139"/>
      <c r="J8" s="139"/>
      <c r="K8" s="139"/>
      <c r="L8" s="139"/>
      <c r="M8" s="139"/>
      <c r="N8" s="139"/>
      <c r="O8" s="239"/>
      <c r="P8" s="239"/>
      <c r="Q8" s="240"/>
      <c r="S8" s="85"/>
      <c r="T8" s="86"/>
      <c r="U8" s="86"/>
      <c r="V8" s="85"/>
      <c r="W8" s="87"/>
      <c r="X8" s="87"/>
      <c r="Y8" s="87"/>
      <c r="Z8" s="87"/>
      <c r="AA8" s="87"/>
      <c r="AB8" s="87"/>
      <c r="AC8" s="87"/>
      <c r="AD8" s="88"/>
      <c r="AE8" s="87"/>
    </row>
    <row r="9" spans="1:31" s="84" customFormat="1" ht="14.25" customHeight="1" x14ac:dyDescent="0.15">
      <c r="A9" s="215"/>
      <c r="B9" s="230" t="s">
        <v>3</v>
      </c>
      <c r="C9" s="230"/>
      <c r="D9" s="230"/>
      <c r="E9" s="231"/>
      <c r="F9" s="221"/>
      <c r="G9" s="139"/>
      <c r="H9" s="139"/>
      <c r="I9" s="139"/>
      <c r="J9" s="139"/>
      <c r="K9" s="139"/>
      <c r="L9" s="139"/>
      <c r="M9" s="139"/>
      <c r="N9" s="139"/>
      <c r="O9" s="4" t="s">
        <v>64</v>
      </c>
      <c r="P9" s="232"/>
      <c r="Q9" s="233"/>
      <c r="S9" s="85"/>
      <c r="T9" s="86"/>
      <c r="U9" s="86"/>
      <c r="V9" s="85"/>
      <c r="W9" s="87"/>
      <c r="X9" s="87"/>
      <c r="Y9" s="87"/>
      <c r="Z9" s="87"/>
      <c r="AA9" s="87"/>
      <c r="AB9" s="87"/>
      <c r="AC9" s="90"/>
      <c r="AD9" s="88"/>
      <c r="AE9" s="87"/>
    </row>
    <row r="10" spans="1:31" s="91" customFormat="1" ht="15" customHeight="1" thickBot="1" x14ac:dyDescent="0.2">
      <c r="A10" s="216"/>
      <c r="B10" s="234" t="s">
        <v>5</v>
      </c>
      <c r="C10" s="234"/>
      <c r="D10" s="234"/>
      <c r="E10" s="235"/>
      <c r="F10" s="222"/>
      <c r="G10" s="139"/>
      <c r="H10" s="139"/>
      <c r="I10" s="139"/>
      <c r="J10" s="139"/>
      <c r="K10" s="139"/>
      <c r="L10" s="139"/>
      <c r="M10" s="139"/>
      <c r="N10" s="139"/>
      <c r="O10" s="5" t="s">
        <v>65</v>
      </c>
      <c r="P10" s="236"/>
      <c r="Q10" s="237"/>
      <c r="S10" s="85"/>
      <c r="T10" s="86"/>
      <c r="U10" s="86"/>
      <c r="V10" s="85"/>
      <c r="W10" s="87"/>
      <c r="X10" s="87"/>
      <c r="Y10" s="87"/>
      <c r="Z10" s="87"/>
      <c r="AA10" s="87"/>
      <c r="AB10" s="87"/>
      <c r="AC10" s="244"/>
      <c r="AD10" s="275"/>
      <c r="AE10" s="276"/>
    </row>
    <row r="11" spans="1:31" s="81" customFormat="1" ht="1.5" customHeight="1" thickBot="1" x14ac:dyDescent="0.25">
      <c r="A11" s="6"/>
      <c r="B11" s="7"/>
      <c r="C11" s="7"/>
      <c r="D11" s="7"/>
      <c r="E11" s="7"/>
      <c r="F11" s="7"/>
      <c r="G11" s="7"/>
      <c r="H11" s="7"/>
      <c r="I11" s="7"/>
      <c r="J11" s="7"/>
      <c r="K11" s="7"/>
      <c r="L11" s="7"/>
      <c r="M11" s="7"/>
      <c r="N11" s="7"/>
      <c r="O11" s="241"/>
      <c r="P11" s="242"/>
      <c r="Q11" s="243"/>
      <c r="S11" s="92"/>
      <c r="T11" s="92"/>
      <c r="U11" s="92"/>
      <c r="V11" s="92"/>
      <c r="W11" s="92"/>
      <c r="X11" s="92"/>
      <c r="Y11" s="92"/>
      <c r="Z11" s="92"/>
      <c r="AA11" s="92"/>
      <c r="AB11" s="92"/>
      <c r="AC11" s="244"/>
      <c r="AD11" s="275"/>
      <c r="AE11" s="276"/>
    </row>
    <row r="12" spans="1:31" ht="12" customHeight="1" thickBot="1" x14ac:dyDescent="0.25">
      <c r="A12" s="194" t="s">
        <v>66</v>
      </c>
      <c r="B12" s="195"/>
      <c r="C12" s="196"/>
      <c r="D12" s="197" t="s">
        <v>67</v>
      </c>
      <c r="E12" s="198"/>
      <c r="F12" s="198"/>
      <c r="G12" s="199"/>
      <c r="H12" s="8"/>
      <c r="I12" s="9"/>
      <c r="J12" s="9">
        <v>1</v>
      </c>
      <c r="K12" s="9">
        <v>2</v>
      </c>
      <c r="L12" s="9">
        <v>3</v>
      </c>
      <c r="M12" s="9">
        <v>4</v>
      </c>
      <c r="N12" s="9"/>
      <c r="O12" s="165"/>
      <c r="P12" s="166"/>
      <c r="Q12" s="167"/>
      <c r="S12" s="93"/>
      <c r="T12" s="94"/>
      <c r="U12" s="94"/>
      <c r="V12" s="95"/>
      <c r="W12" s="95"/>
      <c r="X12" s="95"/>
      <c r="Y12" s="95"/>
      <c r="Z12" s="95"/>
      <c r="AA12" s="95"/>
      <c r="AB12" s="95"/>
      <c r="AC12" s="94"/>
      <c r="AD12" s="96"/>
      <c r="AE12" s="97"/>
    </row>
    <row r="13" spans="1:31" s="98" customFormat="1" ht="12" customHeight="1" x14ac:dyDescent="0.2">
      <c r="A13" s="168"/>
      <c r="B13" s="169"/>
      <c r="C13" s="170"/>
      <c r="D13" s="174" t="s">
        <v>2</v>
      </c>
      <c r="E13" s="175"/>
      <c r="F13" s="175"/>
      <c r="G13" s="176"/>
      <c r="H13" s="10"/>
      <c r="I13" s="47">
        <v>38</v>
      </c>
      <c r="J13" s="47">
        <v>40</v>
      </c>
      <c r="K13" s="47">
        <v>42</v>
      </c>
      <c r="L13" s="47">
        <v>44</v>
      </c>
      <c r="M13" s="47">
        <v>46</v>
      </c>
      <c r="N13" s="47">
        <v>48</v>
      </c>
      <c r="O13" s="180"/>
      <c r="P13" s="181"/>
      <c r="Q13" s="182"/>
      <c r="S13" s="103"/>
      <c r="T13" s="103"/>
      <c r="U13" s="103"/>
      <c r="V13" s="104"/>
      <c r="W13" s="104"/>
      <c r="X13" s="104"/>
      <c r="Y13" s="104"/>
      <c r="Z13" s="104"/>
      <c r="AA13" s="104"/>
      <c r="AB13" s="104"/>
      <c r="AC13" s="103"/>
      <c r="AD13" s="105"/>
      <c r="AE13" s="105"/>
    </row>
    <row r="14" spans="1:31" s="98" customFormat="1" ht="12" customHeight="1" thickBot="1" x14ac:dyDescent="0.25">
      <c r="A14" s="171"/>
      <c r="B14" s="172"/>
      <c r="C14" s="173"/>
      <c r="D14" s="177"/>
      <c r="E14" s="178"/>
      <c r="F14" s="178"/>
      <c r="G14" s="179"/>
      <c r="H14" s="11" t="s">
        <v>68</v>
      </c>
      <c r="I14" s="12"/>
      <c r="J14" s="12" t="s">
        <v>69</v>
      </c>
      <c r="K14" s="12" t="s">
        <v>70</v>
      </c>
      <c r="L14" s="12" t="s">
        <v>71</v>
      </c>
      <c r="M14" s="12" t="s">
        <v>72</v>
      </c>
      <c r="N14" s="12"/>
      <c r="O14" s="183"/>
      <c r="P14" s="184"/>
      <c r="Q14" s="185"/>
      <c r="S14" s="106"/>
      <c r="T14" s="106"/>
      <c r="U14" s="106"/>
      <c r="V14" s="90"/>
      <c r="W14" s="104"/>
      <c r="X14" s="104"/>
      <c r="Y14" s="104"/>
      <c r="Z14" s="104"/>
      <c r="AA14" s="104"/>
      <c r="AB14" s="104"/>
      <c r="AC14" s="87"/>
      <c r="AD14" s="88"/>
      <c r="AE14" s="87"/>
    </row>
    <row r="15" spans="1:31" s="98" customFormat="1" ht="12" customHeight="1" thickBot="1" x14ac:dyDescent="0.25">
      <c r="A15" s="13"/>
      <c r="B15" s="14" t="s">
        <v>73</v>
      </c>
      <c r="C15" s="223" t="s">
        <v>74</v>
      </c>
      <c r="D15" s="224"/>
      <c r="E15" s="225"/>
      <c r="F15" s="223" t="s">
        <v>8</v>
      </c>
      <c r="G15" s="224"/>
      <c r="H15" s="15"/>
      <c r="I15" s="16"/>
      <c r="J15" s="16"/>
      <c r="K15" s="16"/>
      <c r="L15" s="16"/>
      <c r="M15" s="16"/>
      <c r="N15" s="16"/>
      <c r="O15" s="17" t="s">
        <v>75</v>
      </c>
      <c r="P15" s="14" t="s">
        <v>76</v>
      </c>
      <c r="Q15" s="18" t="s">
        <v>77</v>
      </c>
      <c r="S15" s="106"/>
      <c r="T15" s="87"/>
      <c r="U15" s="87"/>
      <c r="V15" s="104"/>
      <c r="W15" s="104"/>
      <c r="X15" s="104"/>
      <c r="Y15" s="104"/>
      <c r="Z15" s="104"/>
      <c r="AA15" s="104"/>
      <c r="AB15" s="104"/>
      <c r="AC15" s="87"/>
      <c r="AD15" s="88"/>
      <c r="AE15" s="87"/>
    </row>
    <row r="16" spans="1:31" ht="12" customHeight="1" x14ac:dyDescent="0.2">
      <c r="A16" s="19">
        <v>1</v>
      </c>
      <c r="B16" s="20" t="s">
        <v>6</v>
      </c>
      <c r="C16" s="250" t="s">
        <v>29</v>
      </c>
      <c r="D16" s="251"/>
      <c r="E16" s="252"/>
      <c r="F16" s="248" t="s">
        <v>7</v>
      </c>
      <c r="G16" s="249"/>
      <c r="H16" s="21"/>
      <c r="I16" s="22"/>
      <c r="J16" s="22"/>
      <c r="K16" s="22">
        <v>1</v>
      </c>
      <c r="L16" s="22">
        <v>1</v>
      </c>
      <c r="M16" s="22"/>
      <c r="N16" s="23"/>
      <c r="O16" s="24">
        <f t="shared" ref="O16:O35" si="0">IF(SUM(H16:N16)&gt;0,SUM(H16:N16),"")</f>
        <v>2</v>
      </c>
      <c r="P16" s="25">
        <v>25</v>
      </c>
      <c r="Q16" s="26">
        <f>IF(P16="","",(O16*P16))</f>
        <v>50</v>
      </c>
      <c r="S16" s="107"/>
      <c r="T16" s="107" t="s">
        <v>83</v>
      </c>
      <c r="U16" s="95"/>
      <c r="V16" s="95"/>
      <c r="W16" s="95"/>
      <c r="X16" s="95"/>
      <c r="Y16" s="95"/>
      <c r="Z16" s="95"/>
      <c r="AA16" s="95"/>
      <c r="AB16" s="95"/>
      <c r="AC16" s="95"/>
      <c r="AD16" s="108"/>
      <c r="AE16" s="96"/>
    </row>
    <row r="17" spans="1:31" ht="12" customHeight="1" x14ac:dyDescent="0.2">
      <c r="A17" s="27">
        <v>2</v>
      </c>
      <c r="B17" s="20" t="s">
        <v>6</v>
      </c>
      <c r="C17" s="189" t="s">
        <v>29</v>
      </c>
      <c r="D17" s="190"/>
      <c r="E17" s="191"/>
      <c r="F17" s="192" t="s">
        <v>9</v>
      </c>
      <c r="G17" s="193"/>
      <c r="H17" s="29"/>
      <c r="I17" s="30"/>
      <c r="J17" s="30"/>
      <c r="K17" s="30">
        <v>1</v>
      </c>
      <c r="L17" s="30"/>
      <c r="M17" s="30"/>
      <c r="N17" s="31"/>
      <c r="O17" s="32">
        <f t="shared" si="0"/>
        <v>1</v>
      </c>
      <c r="P17" s="33">
        <v>25</v>
      </c>
      <c r="Q17" s="34">
        <f t="shared" ref="Q17:Q35" si="1">IF(P17="","",(O17*P17))</f>
        <v>25</v>
      </c>
      <c r="S17" s="107"/>
      <c r="T17" s="107" t="s">
        <v>83</v>
      </c>
      <c r="U17" s="95"/>
      <c r="V17" s="95"/>
      <c r="W17" s="95"/>
      <c r="X17" s="95"/>
      <c r="Y17" s="95"/>
      <c r="Z17" s="95"/>
      <c r="AA17" s="95"/>
      <c r="AB17" s="95"/>
      <c r="AC17" s="95"/>
      <c r="AD17" s="108"/>
      <c r="AE17" s="96"/>
    </row>
    <row r="18" spans="1:31" ht="12" customHeight="1" x14ac:dyDescent="0.2">
      <c r="A18" s="27">
        <v>3</v>
      </c>
      <c r="B18" s="35"/>
      <c r="C18" s="189"/>
      <c r="D18" s="190"/>
      <c r="E18" s="191"/>
      <c r="F18" s="192"/>
      <c r="G18" s="193"/>
      <c r="H18" s="29"/>
      <c r="I18" s="30"/>
      <c r="J18" s="30"/>
      <c r="K18" s="30"/>
      <c r="L18" s="30"/>
      <c r="M18" s="30"/>
      <c r="N18" s="31"/>
      <c r="O18" s="32" t="str">
        <f t="shared" si="0"/>
        <v/>
      </c>
      <c r="P18" s="33"/>
      <c r="Q18" s="34" t="str">
        <f t="shared" si="1"/>
        <v/>
      </c>
      <c r="S18" s="107"/>
      <c r="T18" s="107"/>
      <c r="U18" s="95"/>
      <c r="V18" s="95"/>
      <c r="W18" s="95"/>
      <c r="X18" s="95"/>
      <c r="Y18" s="95"/>
      <c r="Z18" s="95"/>
      <c r="AA18" s="95"/>
      <c r="AB18" s="95"/>
      <c r="AC18" s="95"/>
      <c r="AD18" s="108"/>
      <c r="AE18" s="96"/>
    </row>
    <row r="19" spans="1:31" ht="12" customHeight="1" x14ac:dyDescent="0.2">
      <c r="A19" s="27">
        <v>4</v>
      </c>
      <c r="B19" s="35"/>
      <c r="C19" s="189"/>
      <c r="D19" s="190"/>
      <c r="E19" s="191"/>
      <c r="F19" s="192"/>
      <c r="G19" s="193"/>
      <c r="H19" s="29"/>
      <c r="I19" s="30"/>
      <c r="J19" s="30"/>
      <c r="K19" s="30"/>
      <c r="L19" s="30"/>
      <c r="M19" s="30"/>
      <c r="N19" s="37"/>
      <c r="O19" s="32" t="str">
        <f t="shared" si="0"/>
        <v/>
      </c>
      <c r="P19" s="33"/>
      <c r="Q19" s="34" t="str">
        <f t="shared" si="1"/>
        <v/>
      </c>
      <c r="S19" s="107"/>
      <c r="T19" s="107"/>
      <c r="U19" s="95"/>
      <c r="V19" s="95"/>
      <c r="W19" s="95"/>
      <c r="X19" s="95"/>
      <c r="Y19" s="95"/>
      <c r="Z19" s="95"/>
      <c r="AA19" s="95"/>
      <c r="AB19" s="95"/>
      <c r="AC19" s="95"/>
      <c r="AD19" s="108"/>
      <c r="AE19" s="96"/>
    </row>
    <row r="20" spans="1:31" ht="12" customHeight="1" x14ac:dyDescent="0.2">
      <c r="A20" s="27">
        <v>5</v>
      </c>
      <c r="B20" s="36"/>
      <c r="C20" s="186"/>
      <c r="D20" s="187"/>
      <c r="E20" s="188"/>
      <c r="F20" s="143"/>
      <c r="G20" s="144"/>
      <c r="H20" s="38"/>
      <c r="I20" s="36"/>
      <c r="J20" s="36"/>
      <c r="K20" s="36"/>
      <c r="L20" s="36"/>
      <c r="M20" s="36"/>
      <c r="N20" s="39"/>
      <c r="O20" s="32" t="str">
        <f t="shared" si="0"/>
        <v/>
      </c>
      <c r="P20" s="33"/>
      <c r="Q20" s="34" t="str">
        <f t="shared" si="1"/>
        <v/>
      </c>
      <c r="S20" s="107"/>
      <c r="T20" s="107"/>
      <c r="U20" s="95"/>
      <c r="V20" s="95"/>
      <c r="W20" s="95"/>
      <c r="X20" s="95"/>
      <c r="Y20" s="95"/>
      <c r="Z20" s="95"/>
      <c r="AA20" s="95"/>
      <c r="AB20" s="95"/>
      <c r="AC20" s="95"/>
      <c r="AD20" s="108"/>
      <c r="AE20" s="96"/>
    </row>
    <row r="21" spans="1:31" ht="12" customHeight="1" x14ac:dyDescent="0.2">
      <c r="A21" s="27">
        <v>6</v>
      </c>
      <c r="B21" s="36" t="s">
        <v>11</v>
      </c>
      <c r="C21" s="186" t="s">
        <v>30</v>
      </c>
      <c r="D21" s="187"/>
      <c r="E21" s="188"/>
      <c r="F21" s="143" t="s">
        <v>13</v>
      </c>
      <c r="G21" s="144"/>
      <c r="H21" s="38"/>
      <c r="I21" s="36"/>
      <c r="J21" s="36"/>
      <c r="K21" s="36"/>
      <c r="L21" s="36">
        <v>1</v>
      </c>
      <c r="M21" s="36"/>
      <c r="N21" s="37"/>
      <c r="O21" s="32">
        <f t="shared" si="0"/>
        <v>1</v>
      </c>
      <c r="P21" s="33"/>
      <c r="Q21" s="34" t="str">
        <f t="shared" si="1"/>
        <v/>
      </c>
      <c r="S21" s="107"/>
      <c r="T21" s="107" t="s">
        <v>83</v>
      </c>
      <c r="U21" s="95"/>
      <c r="V21" s="95"/>
      <c r="W21" s="95"/>
      <c r="X21" s="95"/>
      <c r="Y21" s="95"/>
      <c r="Z21" s="95"/>
      <c r="AA21" s="95"/>
      <c r="AB21" s="95"/>
      <c r="AC21" s="95"/>
      <c r="AE21" s="96"/>
    </row>
    <row r="22" spans="1:31" ht="12" customHeight="1" x14ac:dyDescent="0.2">
      <c r="A22" s="19">
        <v>7</v>
      </c>
      <c r="B22" s="36"/>
      <c r="C22" s="186"/>
      <c r="D22" s="187"/>
      <c r="E22" s="188"/>
      <c r="F22" s="143"/>
      <c r="G22" s="144"/>
      <c r="H22" s="38"/>
      <c r="I22" s="36"/>
      <c r="J22" s="36"/>
      <c r="K22" s="36"/>
      <c r="L22" s="36"/>
      <c r="M22" s="36"/>
      <c r="N22" s="37"/>
      <c r="O22" s="32" t="str">
        <f t="shared" si="0"/>
        <v/>
      </c>
      <c r="P22" s="33"/>
      <c r="Q22" s="34" t="str">
        <f t="shared" si="1"/>
        <v/>
      </c>
      <c r="S22" s="107"/>
      <c r="T22" s="107"/>
      <c r="U22" s="95"/>
      <c r="V22" s="95"/>
      <c r="W22" s="95"/>
      <c r="X22" s="95"/>
      <c r="Y22" s="95"/>
      <c r="Z22" s="95"/>
      <c r="AA22" s="95"/>
      <c r="AB22" s="95"/>
      <c r="AC22" s="95"/>
      <c r="AD22" s="108"/>
      <c r="AE22" s="96"/>
    </row>
    <row r="23" spans="1:31" ht="12" customHeight="1" x14ac:dyDescent="0.2">
      <c r="A23" s="27">
        <v>8</v>
      </c>
      <c r="B23" s="40" t="s">
        <v>14</v>
      </c>
      <c r="C23" s="186" t="s">
        <v>31</v>
      </c>
      <c r="D23" s="187"/>
      <c r="E23" s="188"/>
      <c r="F23" s="143" t="s">
        <v>7</v>
      </c>
      <c r="G23" s="144"/>
      <c r="H23" s="41">
        <v>3</v>
      </c>
      <c r="I23" s="40"/>
      <c r="J23" s="40"/>
      <c r="K23" s="40"/>
      <c r="L23" s="40"/>
      <c r="M23" s="40"/>
      <c r="N23" s="37"/>
      <c r="O23" s="32">
        <f t="shared" si="0"/>
        <v>3</v>
      </c>
      <c r="P23" s="33">
        <v>15.5</v>
      </c>
      <c r="Q23" s="34">
        <f t="shared" si="1"/>
        <v>46.5</v>
      </c>
      <c r="S23" s="107"/>
      <c r="T23" s="107" t="s">
        <v>83</v>
      </c>
      <c r="U23" s="95"/>
      <c r="V23" s="95"/>
      <c r="W23" s="95"/>
      <c r="X23" s="95"/>
      <c r="Y23" s="95"/>
      <c r="Z23" s="95"/>
      <c r="AA23" s="95"/>
      <c r="AB23" s="95"/>
      <c r="AC23" s="95"/>
      <c r="AD23" s="108"/>
      <c r="AE23" s="96"/>
    </row>
    <row r="24" spans="1:31" ht="12" customHeight="1" x14ac:dyDescent="0.2">
      <c r="A24" s="27">
        <v>9</v>
      </c>
      <c r="B24" s="40" t="s">
        <v>14</v>
      </c>
      <c r="C24" s="186" t="s">
        <v>31</v>
      </c>
      <c r="D24" s="187"/>
      <c r="E24" s="188"/>
      <c r="F24" s="143" t="s">
        <v>15</v>
      </c>
      <c r="G24" s="144"/>
      <c r="H24" s="41">
        <v>2</v>
      </c>
      <c r="I24" s="40"/>
      <c r="J24" s="40"/>
      <c r="K24" s="40"/>
      <c r="L24" s="40"/>
      <c r="M24" s="40"/>
      <c r="N24" s="37"/>
      <c r="O24" s="32">
        <f t="shared" si="0"/>
        <v>2</v>
      </c>
      <c r="P24" s="33">
        <v>15.5</v>
      </c>
      <c r="Q24" s="34">
        <f t="shared" si="1"/>
        <v>31</v>
      </c>
      <c r="S24" s="107"/>
      <c r="T24" s="107" t="s">
        <v>83</v>
      </c>
      <c r="U24" s="95"/>
      <c r="V24" s="95"/>
      <c r="W24" s="95"/>
      <c r="X24" s="95"/>
      <c r="Y24" s="95"/>
      <c r="Z24" s="95"/>
      <c r="AA24" s="95"/>
      <c r="AB24" s="95"/>
      <c r="AC24" s="95"/>
      <c r="AD24" s="108"/>
      <c r="AE24" s="96"/>
    </row>
    <row r="25" spans="1:31" ht="12" customHeight="1" x14ac:dyDescent="0.2">
      <c r="A25" s="27">
        <v>10</v>
      </c>
      <c r="B25" s="40"/>
      <c r="C25" s="186"/>
      <c r="D25" s="187"/>
      <c r="E25" s="188"/>
      <c r="F25" s="143"/>
      <c r="G25" s="144"/>
      <c r="H25" s="41"/>
      <c r="I25" s="40"/>
      <c r="J25" s="40"/>
      <c r="K25" s="40"/>
      <c r="L25" s="40"/>
      <c r="M25" s="40"/>
      <c r="N25" s="37"/>
      <c r="O25" s="32" t="str">
        <f t="shared" si="0"/>
        <v/>
      </c>
      <c r="P25" s="33"/>
      <c r="Q25" s="34"/>
      <c r="S25" s="107"/>
      <c r="T25" s="107"/>
      <c r="U25" s="95"/>
      <c r="V25" s="95"/>
      <c r="W25" s="95"/>
      <c r="X25" s="95"/>
      <c r="Y25" s="95"/>
      <c r="Z25" s="95"/>
      <c r="AA25" s="95"/>
      <c r="AB25" s="95"/>
      <c r="AC25" s="95"/>
      <c r="AD25" s="108"/>
      <c r="AE25" s="96"/>
    </row>
    <row r="26" spans="1:31" ht="12" customHeight="1" x14ac:dyDescent="0.2">
      <c r="A26" s="27">
        <v>11</v>
      </c>
      <c r="B26" s="40" t="s">
        <v>14</v>
      </c>
      <c r="C26" s="186" t="s">
        <v>31</v>
      </c>
      <c r="D26" s="187"/>
      <c r="E26" s="188"/>
      <c r="F26" s="143" t="s">
        <v>16</v>
      </c>
      <c r="G26" s="144"/>
      <c r="H26" s="41">
        <v>1</v>
      </c>
      <c r="I26" s="40"/>
      <c r="J26" s="40"/>
      <c r="K26" s="40"/>
      <c r="L26" s="40"/>
      <c r="M26" s="40"/>
      <c r="N26" s="37"/>
      <c r="O26" s="32">
        <v>1</v>
      </c>
      <c r="P26" s="33">
        <v>15</v>
      </c>
      <c r="Q26" s="34">
        <f t="shared" si="1"/>
        <v>15</v>
      </c>
      <c r="S26" s="107"/>
      <c r="T26" s="107" t="s">
        <v>83</v>
      </c>
      <c r="U26" s="95"/>
      <c r="V26" s="95"/>
      <c r="W26" s="95"/>
      <c r="X26" s="95"/>
      <c r="Y26" s="95"/>
      <c r="Z26" s="95"/>
      <c r="AA26" s="95"/>
      <c r="AB26" s="95"/>
      <c r="AC26" s="95"/>
      <c r="AD26" s="108"/>
      <c r="AE26" s="96"/>
    </row>
    <row r="27" spans="1:31" ht="12" customHeight="1" x14ac:dyDescent="0.2">
      <c r="A27" s="27">
        <v>12</v>
      </c>
      <c r="B27" s="40" t="s">
        <v>17</v>
      </c>
      <c r="C27" s="186" t="s">
        <v>32</v>
      </c>
      <c r="D27" s="187"/>
      <c r="E27" s="188"/>
      <c r="F27" s="143" t="s">
        <v>7</v>
      </c>
      <c r="G27" s="144"/>
      <c r="H27" s="41">
        <v>1</v>
      </c>
      <c r="I27" s="40"/>
      <c r="J27" s="40"/>
      <c r="K27" s="40"/>
      <c r="L27" s="40"/>
      <c r="M27" s="40"/>
      <c r="N27" s="37"/>
      <c r="O27" s="32">
        <f t="shared" si="0"/>
        <v>1</v>
      </c>
      <c r="P27" s="33">
        <v>13.5</v>
      </c>
      <c r="Q27" s="34">
        <f t="shared" si="1"/>
        <v>13.5</v>
      </c>
      <c r="T27" s="76" t="s">
        <v>83</v>
      </c>
      <c r="U27" s="95"/>
      <c r="V27" s="95"/>
      <c r="W27" s="95"/>
      <c r="X27" s="95"/>
      <c r="Y27" s="95"/>
      <c r="Z27" s="95"/>
      <c r="AA27" s="95"/>
      <c r="AB27" s="95"/>
      <c r="AC27" s="95"/>
      <c r="AE27" s="96"/>
    </row>
    <row r="28" spans="1:31" ht="12" customHeight="1" x14ac:dyDescent="0.2">
      <c r="A28" s="27">
        <v>13</v>
      </c>
      <c r="B28" s="40"/>
      <c r="C28" s="186"/>
      <c r="D28" s="187"/>
      <c r="E28" s="188"/>
      <c r="F28" s="143"/>
      <c r="G28" s="144"/>
      <c r="H28" s="41"/>
      <c r="I28" s="40"/>
      <c r="J28" s="40"/>
      <c r="K28" s="40"/>
      <c r="L28" s="40"/>
      <c r="M28" s="40"/>
      <c r="N28" s="43"/>
      <c r="O28" s="32" t="str">
        <f t="shared" si="0"/>
        <v/>
      </c>
      <c r="P28" s="42"/>
      <c r="Q28" s="34" t="str">
        <f t="shared" si="1"/>
        <v/>
      </c>
      <c r="S28" s="107"/>
      <c r="T28" s="107"/>
      <c r="U28" s="95"/>
      <c r="V28" s="95"/>
      <c r="W28" s="95"/>
      <c r="X28" s="95"/>
      <c r="Y28" s="95"/>
      <c r="Z28" s="95"/>
      <c r="AA28" s="95"/>
      <c r="AB28" s="95"/>
      <c r="AC28" s="95"/>
      <c r="AD28" s="108"/>
      <c r="AE28" s="96"/>
    </row>
    <row r="29" spans="1:31" ht="12" customHeight="1" x14ac:dyDescent="0.2">
      <c r="A29" s="27">
        <v>14</v>
      </c>
      <c r="B29" s="118" t="s">
        <v>19</v>
      </c>
      <c r="C29" s="200" t="s">
        <v>33</v>
      </c>
      <c r="D29" s="201"/>
      <c r="E29" s="202"/>
      <c r="F29" s="160" t="s">
        <v>20</v>
      </c>
      <c r="G29" s="162"/>
      <c r="H29" s="45">
        <v>2</v>
      </c>
      <c r="I29" s="48"/>
      <c r="J29" s="48"/>
      <c r="K29" s="48"/>
      <c r="L29" s="48"/>
      <c r="M29" s="48"/>
      <c r="N29" s="43"/>
      <c r="O29" s="32">
        <f t="shared" si="0"/>
        <v>2</v>
      </c>
      <c r="P29" s="42">
        <v>13.5</v>
      </c>
      <c r="Q29" s="34">
        <f t="shared" si="1"/>
        <v>27</v>
      </c>
      <c r="S29" s="107"/>
      <c r="T29" s="107" t="s">
        <v>83</v>
      </c>
      <c r="U29" s="95"/>
      <c r="V29" s="95"/>
      <c r="W29" s="95"/>
      <c r="X29" s="95"/>
      <c r="Y29" s="95"/>
      <c r="Z29" s="95"/>
      <c r="AA29" s="95"/>
      <c r="AB29" s="95"/>
      <c r="AC29" s="95"/>
      <c r="AD29" s="108"/>
      <c r="AE29" s="96"/>
    </row>
    <row r="30" spans="1:31" ht="12" customHeight="1" x14ac:dyDescent="0.2">
      <c r="A30" s="27">
        <v>15</v>
      </c>
      <c r="B30" s="118" t="s">
        <v>19</v>
      </c>
      <c r="C30" s="200" t="s">
        <v>33</v>
      </c>
      <c r="D30" s="201"/>
      <c r="E30" s="202"/>
      <c r="F30" s="160" t="s">
        <v>21</v>
      </c>
      <c r="G30" s="162"/>
      <c r="H30" s="45">
        <v>2</v>
      </c>
      <c r="I30" s="48"/>
      <c r="J30" s="48"/>
      <c r="K30" s="48"/>
      <c r="L30" s="48"/>
      <c r="M30" s="48"/>
      <c r="N30" s="43"/>
      <c r="O30" s="32">
        <f t="shared" si="0"/>
        <v>2</v>
      </c>
      <c r="P30" s="42">
        <v>13.5</v>
      </c>
      <c r="Q30" s="34">
        <f t="shared" si="1"/>
        <v>27</v>
      </c>
      <c r="S30" s="107"/>
      <c r="T30" s="107" t="s">
        <v>83</v>
      </c>
      <c r="U30" s="95"/>
      <c r="V30" s="95"/>
      <c r="W30" s="95"/>
      <c r="X30" s="95"/>
      <c r="Y30" s="95"/>
      <c r="Z30" s="95"/>
      <c r="AA30" s="95"/>
      <c r="AB30" s="95"/>
      <c r="AC30" s="95"/>
      <c r="AD30" s="108"/>
      <c r="AE30" s="96"/>
    </row>
    <row r="31" spans="1:31" ht="12" customHeight="1" x14ac:dyDescent="0.2">
      <c r="A31" s="27">
        <v>16</v>
      </c>
      <c r="B31" s="118" t="s">
        <v>22</v>
      </c>
      <c r="C31" s="200" t="s">
        <v>34</v>
      </c>
      <c r="D31" s="201"/>
      <c r="E31" s="202"/>
      <c r="F31" s="160" t="s">
        <v>7</v>
      </c>
      <c r="G31" s="162"/>
      <c r="H31" s="45">
        <v>3</v>
      </c>
      <c r="I31" s="48"/>
      <c r="J31" s="48"/>
      <c r="K31" s="48"/>
      <c r="L31" s="48"/>
      <c r="M31" s="48"/>
      <c r="N31" s="43"/>
      <c r="O31" s="32">
        <f t="shared" si="0"/>
        <v>3</v>
      </c>
      <c r="P31" s="42">
        <v>13.5</v>
      </c>
      <c r="Q31" s="34">
        <f t="shared" si="1"/>
        <v>40.5</v>
      </c>
      <c r="S31" s="107"/>
      <c r="T31" s="107" t="s">
        <v>83</v>
      </c>
      <c r="U31" s="95"/>
      <c r="V31" s="95"/>
      <c r="W31" s="95"/>
      <c r="X31" s="95"/>
      <c r="Y31" s="95"/>
      <c r="Z31" s="95"/>
      <c r="AA31" s="95"/>
      <c r="AB31" s="95"/>
      <c r="AC31" s="95"/>
      <c r="AD31" s="108"/>
      <c r="AE31" s="96"/>
    </row>
    <row r="32" spans="1:31" ht="12" customHeight="1" x14ac:dyDescent="0.2">
      <c r="A32" s="27">
        <v>17</v>
      </c>
      <c r="B32" s="118" t="s">
        <v>22</v>
      </c>
      <c r="C32" s="200" t="s">
        <v>34</v>
      </c>
      <c r="D32" s="201"/>
      <c r="E32" s="202"/>
      <c r="F32" s="160" t="s">
        <v>15</v>
      </c>
      <c r="G32" s="162"/>
      <c r="H32" s="45">
        <v>1</v>
      </c>
      <c r="I32" s="48"/>
      <c r="J32" s="48"/>
      <c r="K32" s="48"/>
      <c r="L32" s="48"/>
      <c r="M32" s="48"/>
      <c r="N32" s="43"/>
      <c r="O32" s="32">
        <f t="shared" si="0"/>
        <v>1</v>
      </c>
      <c r="P32" s="42">
        <v>13.5</v>
      </c>
      <c r="Q32" s="34">
        <f t="shared" si="1"/>
        <v>13.5</v>
      </c>
      <c r="S32" s="107"/>
      <c r="T32" s="107" t="s">
        <v>83</v>
      </c>
      <c r="U32" s="95"/>
      <c r="V32" s="95"/>
      <c r="W32" s="95"/>
      <c r="X32" s="95"/>
      <c r="Y32" s="95"/>
      <c r="Z32" s="95"/>
      <c r="AA32" s="95"/>
      <c r="AB32" s="95"/>
      <c r="AC32" s="95"/>
      <c r="AE32" s="96"/>
    </row>
    <row r="33" spans="1:31" ht="12" customHeight="1" x14ac:dyDescent="0.2">
      <c r="A33" s="27">
        <v>18</v>
      </c>
      <c r="B33" s="118"/>
      <c r="C33" s="200"/>
      <c r="D33" s="201"/>
      <c r="E33" s="202"/>
      <c r="F33" s="160"/>
      <c r="G33" s="162"/>
      <c r="H33" s="45"/>
      <c r="I33" s="48"/>
      <c r="J33" s="48"/>
      <c r="K33" s="48"/>
      <c r="L33" s="48"/>
      <c r="M33" s="48"/>
      <c r="N33" s="43"/>
      <c r="O33" s="32" t="str">
        <f t="shared" si="0"/>
        <v/>
      </c>
      <c r="P33" s="42"/>
      <c r="Q33" s="34" t="str">
        <f t="shared" si="1"/>
        <v/>
      </c>
      <c r="S33" s="107"/>
      <c r="T33" s="107"/>
      <c r="U33" s="95"/>
      <c r="V33" s="95"/>
      <c r="W33" s="95"/>
      <c r="X33" s="95"/>
      <c r="Y33" s="95"/>
      <c r="Z33" s="95"/>
      <c r="AA33" s="95"/>
      <c r="AB33" s="95"/>
      <c r="AC33" s="95"/>
      <c r="AD33" s="108"/>
      <c r="AE33" s="96"/>
    </row>
    <row r="34" spans="1:31" ht="12" customHeight="1" x14ac:dyDescent="0.2">
      <c r="A34" s="27">
        <v>19</v>
      </c>
      <c r="B34" s="118"/>
      <c r="C34" s="200"/>
      <c r="D34" s="201"/>
      <c r="E34" s="202"/>
      <c r="F34" s="271"/>
      <c r="G34" s="272"/>
      <c r="H34" s="45"/>
      <c r="I34" s="48"/>
      <c r="J34" s="48"/>
      <c r="K34" s="48"/>
      <c r="L34" s="48"/>
      <c r="M34" s="48"/>
      <c r="N34" s="43"/>
      <c r="O34" s="32" t="str">
        <f t="shared" si="0"/>
        <v/>
      </c>
      <c r="P34" s="42"/>
      <c r="Q34" s="34" t="str">
        <f t="shared" si="1"/>
        <v/>
      </c>
      <c r="S34" s="107"/>
      <c r="T34" s="107"/>
      <c r="U34" s="95"/>
      <c r="V34" s="95"/>
      <c r="W34" s="95"/>
      <c r="X34" s="95"/>
      <c r="Y34" s="95"/>
      <c r="Z34" s="95"/>
      <c r="AA34" s="95"/>
      <c r="AB34" s="95"/>
      <c r="AC34" s="95"/>
      <c r="AD34" s="108"/>
      <c r="AE34" s="96"/>
    </row>
    <row r="35" spans="1:31" ht="12" customHeight="1" x14ac:dyDescent="0.2">
      <c r="A35" s="46">
        <v>20</v>
      </c>
      <c r="B35" s="118"/>
      <c r="C35" s="274"/>
      <c r="D35" s="274"/>
      <c r="E35" s="200"/>
      <c r="F35" s="277"/>
      <c r="G35" s="278"/>
      <c r="H35" s="44"/>
      <c r="I35" s="48"/>
      <c r="J35" s="48"/>
      <c r="K35" s="48"/>
      <c r="L35" s="48"/>
      <c r="M35" s="48"/>
      <c r="N35" s="48"/>
      <c r="O35" s="32" t="str">
        <f t="shared" si="0"/>
        <v/>
      </c>
      <c r="P35" s="42"/>
      <c r="Q35" s="34" t="str">
        <f t="shared" si="1"/>
        <v/>
      </c>
      <c r="S35" s="107"/>
      <c r="T35" s="107"/>
      <c r="U35" s="95"/>
      <c r="V35" s="95"/>
      <c r="W35" s="95"/>
      <c r="X35" s="95"/>
      <c r="Y35" s="95"/>
      <c r="Z35" s="95"/>
      <c r="AA35" s="95"/>
      <c r="AB35" s="95"/>
      <c r="AC35" s="95"/>
      <c r="AD35" s="108"/>
      <c r="AE35" s="96"/>
    </row>
    <row r="36" spans="1:31" ht="12" customHeight="1" x14ac:dyDescent="0.2">
      <c r="A36" s="19">
        <v>21</v>
      </c>
      <c r="B36" s="35"/>
      <c r="C36" s="245"/>
      <c r="D36" s="245"/>
      <c r="E36" s="189"/>
      <c r="F36" s="246"/>
      <c r="G36" s="247"/>
      <c r="H36" s="28"/>
      <c r="I36" s="30"/>
      <c r="J36" s="30"/>
      <c r="K36" s="30"/>
      <c r="L36" s="30"/>
      <c r="M36" s="30"/>
      <c r="N36" s="30"/>
      <c r="O36" s="32" t="str">
        <f t="shared" ref="O36:O55" si="2">IF(SUM(H36:N36)&gt;0,SUM(H36:N36),"")</f>
        <v/>
      </c>
      <c r="P36" s="42"/>
      <c r="Q36" s="34" t="str">
        <f t="shared" ref="Q36:Q55" si="3">IF(P36="","",(O36*P36))</f>
        <v/>
      </c>
      <c r="S36" s="107"/>
      <c r="T36" s="107"/>
      <c r="U36" s="95"/>
      <c r="V36" s="95"/>
      <c r="W36" s="95"/>
      <c r="X36" s="95"/>
      <c r="Y36" s="95"/>
      <c r="Z36" s="95"/>
      <c r="AA36" s="95"/>
      <c r="AB36" s="95"/>
      <c r="AC36" s="95"/>
      <c r="AD36" s="108"/>
      <c r="AE36" s="96"/>
    </row>
    <row r="37" spans="1:31" ht="12" customHeight="1" x14ac:dyDescent="0.2">
      <c r="A37" s="27">
        <v>22</v>
      </c>
      <c r="B37" s="35" t="s">
        <v>23</v>
      </c>
      <c r="C37" s="189" t="s">
        <v>35</v>
      </c>
      <c r="D37" s="190"/>
      <c r="E37" s="191"/>
      <c r="F37" s="248" t="s">
        <v>12</v>
      </c>
      <c r="G37" s="249"/>
      <c r="H37" s="29">
        <v>1</v>
      </c>
      <c r="I37" s="30"/>
      <c r="J37" s="30"/>
      <c r="K37" s="30"/>
      <c r="L37" s="30"/>
      <c r="M37" s="30"/>
      <c r="N37" s="31"/>
      <c r="O37" s="32">
        <f t="shared" si="2"/>
        <v>1</v>
      </c>
      <c r="P37" s="42">
        <v>23.5</v>
      </c>
      <c r="Q37" s="34">
        <f t="shared" si="3"/>
        <v>23.5</v>
      </c>
      <c r="S37" s="107"/>
      <c r="T37" s="107" t="s">
        <v>83</v>
      </c>
      <c r="U37" s="95"/>
      <c r="V37" s="95"/>
      <c r="W37" s="95"/>
      <c r="X37" s="95"/>
      <c r="Y37" s="95"/>
      <c r="Z37" s="95"/>
      <c r="AA37" s="95"/>
      <c r="AB37" s="95"/>
      <c r="AC37" s="95"/>
      <c r="AD37" s="108"/>
      <c r="AE37" s="96"/>
    </row>
    <row r="38" spans="1:31" ht="12" customHeight="1" x14ac:dyDescent="0.2">
      <c r="A38" s="27">
        <v>23</v>
      </c>
      <c r="B38" s="35" t="s">
        <v>24</v>
      </c>
      <c r="C38" s="189" t="s">
        <v>36</v>
      </c>
      <c r="D38" s="190"/>
      <c r="E38" s="191"/>
      <c r="F38" s="192" t="s">
        <v>10</v>
      </c>
      <c r="G38" s="193"/>
      <c r="H38" s="29">
        <v>1</v>
      </c>
      <c r="I38" s="30"/>
      <c r="J38" s="30"/>
      <c r="K38" s="30"/>
      <c r="L38" s="30"/>
      <c r="M38" s="30"/>
      <c r="N38" s="31"/>
      <c r="O38" s="32">
        <f t="shared" si="2"/>
        <v>1</v>
      </c>
      <c r="P38" s="42">
        <v>34</v>
      </c>
      <c r="Q38" s="34">
        <f t="shared" si="3"/>
        <v>34</v>
      </c>
      <c r="S38" s="107"/>
      <c r="T38" s="107" t="s">
        <v>83</v>
      </c>
      <c r="U38" s="95"/>
      <c r="V38" s="95"/>
      <c r="W38" s="95"/>
      <c r="X38" s="95"/>
      <c r="Y38" s="95"/>
      <c r="Z38" s="95"/>
      <c r="AA38" s="95"/>
      <c r="AB38" s="95"/>
      <c r="AC38" s="95"/>
      <c r="AD38" s="108"/>
      <c r="AE38" s="96"/>
    </row>
    <row r="39" spans="1:31" ht="12" customHeight="1" x14ac:dyDescent="0.2">
      <c r="A39" s="27">
        <v>24</v>
      </c>
      <c r="B39" s="35" t="s">
        <v>24</v>
      </c>
      <c r="C39" s="189" t="s">
        <v>36</v>
      </c>
      <c r="D39" s="190"/>
      <c r="E39" s="191"/>
      <c r="F39" s="192" t="s">
        <v>7</v>
      </c>
      <c r="G39" s="193"/>
      <c r="H39" s="29">
        <v>1</v>
      </c>
      <c r="I39" s="30"/>
      <c r="J39" s="30"/>
      <c r="K39" s="30"/>
      <c r="L39" s="30"/>
      <c r="M39" s="30"/>
      <c r="N39" s="37"/>
      <c r="O39" s="32">
        <f t="shared" si="2"/>
        <v>1</v>
      </c>
      <c r="P39" s="42">
        <v>34</v>
      </c>
      <c r="Q39" s="34">
        <f t="shared" si="3"/>
        <v>34</v>
      </c>
      <c r="S39" s="107"/>
      <c r="T39" s="107" t="s">
        <v>83</v>
      </c>
      <c r="U39" s="95"/>
      <c r="V39" s="95"/>
      <c r="W39" s="95"/>
      <c r="X39" s="95"/>
      <c r="Y39" s="95"/>
      <c r="Z39" s="95"/>
      <c r="AA39" s="95"/>
      <c r="AB39" s="95"/>
      <c r="AC39" s="95"/>
      <c r="AE39" s="96"/>
    </row>
    <row r="40" spans="1:31" ht="12" customHeight="1" x14ac:dyDescent="0.2">
      <c r="A40" s="27">
        <v>25</v>
      </c>
      <c r="B40" s="35" t="s">
        <v>24</v>
      </c>
      <c r="C40" s="189" t="s">
        <v>36</v>
      </c>
      <c r="D40" s="190"/>
      <c r="E40" s="191"/>
      <c r="F40" s="143" t="s">
        <v>18</v>
      </c>
      <c r="G40" s="144"/>
      <c r="H40" s="38">
        <v>1</v>
      </c>
      <c r="I40" s="36"/>
      <c r="J40" s="36"/>
      <c r="K40" s="36"/>
      <c r="L40" s="36"/>
      <c r="M40" s="36"/>
      <c r="N40" s="39"/>
      <c r="O40" s="32">
        <f t="shared" si="2"/>
        <v>1</v>
      </c>
      <c r="P40" s="42">
        <v>34</v>
      </c>
      <c r="Q40" s="34">
        <f t="shared" si="3"/>
        <v>34</v>
      </c>
      <c r="S40" s="107"/>
      <c r="T40" s="107" t="s">
        <v>83</v>
      </c>
      <c r="U40" s="95"/>
      <c r="V40" s="95"/>
      <c r="W40" s="95"/>
      <c r="X40" s="95"/>
      <c r="Y40" s="95"/>
      <c r="Z40" s="95"/>
      <c r="AA40" s="95"/>
      <c r="AB40" s="95"/>
      <c r="AC40" s="95"/>
      <c r="AD40" s="108"/>
      <c r="AE40" s="96"/>
    </row>
    <row r="41" spans="1:31" ht="12" customHeight="1" x14ac:dyDescent="0.2">
      <c r="A41" s="27">
        <v>26</v>
      </c>
      <c r="B41" s="36" t="s">
        <v>25</v>
      </c>
      <c r="C41" s="186" t="s">
        <v>37</v>
      </c>
      <c r="D41" s="187"/>
      <c r="E41" s="188"/>
      <c r="F41" s="143" t="s">
        <v>27</v>
      </c>
      <c r="G41" s="144"/>
      <c r="H41" s="38">
        <v>1</v>
      </c>
      <c r="I41" s="36"/>
      <c r="J41" s="36"/>
      <c r="K41" s="36"/>
      <c r="L41" s="36"/>
      <c r="M41" s="36"/>
      <c r="N41" s="37"/>
      <c r="O41" s="32">
        <f t="shared" si="2"/>
        <v>1</v>
      </c>
      <c r="P41" s="42">
        <v>12</v>
      </c>
      <c r="Q41" s="34">
        <f t="shared" si="3"/>
        <v>12</v>
      </c>
      <c r="S41" s="107"/>
      <c r="T41" s="107" t="s">
        <v>83</v>
      </c>
      <c r="U41" s="95"/>
      <c r="V41" s="95"/>
      <c r="W41" s="95"/>
      <c r="X41" s="95"/>
      <c r="Y41" s="95"/>
      <c r="Z41" s="95"/>
      <c r="AA41" s="95"/>
      <c r="AB41" s="95"/>
      <c r="AC41" s="95"/>
      <c r="AD41" s="108"/>
      <c r="AE41" s="96"/>
    </row>
    <row r="42" spans="1:31" ht="12" customHeight="1" x14ac:dyDescent="0.2">
      <c r="A42" s="27">
        <v>27</v>
      </c>
      <c r="B42" s="36" t="s">
        <v>25</v>
      </c>
      <c r="C42" s="186" t="s">
        <v>37</v>
      </c>
      <c r="D42" s="187"/>
      <c r="E42" s="188"/>
      <c r="F42" s="143" t="s">
        <v>26</v>
      </c>
      <c r="G42" s="144"/>
      <c r="H42" s="38">
        <v>2</v>
      </c>
      <c r="I42" s="36"/>
      <c r="J42" s="36"/>
      <c r="K42" s="36"/>
      <c r="L42" s="36"/>
      <c r="M42" s="36"/>
      <c r="N42" s="37"/>
      <c r="O42" s="32">
        <f t="shared" si="2"/>
        <v>2</v>
      </c>
      <c r="P42" s="42">
        <v>12</v>
      </c>
      <c r="Q42" s="34">
        <f t="shared" si="3"/>
        <v>24</v>
      </c>
      <c r="S42" s="107"/>
      <c r="T42" s="107" t="s">
        <v>83</v>
      </c>
      <c r="U42" s="95"/>
      <c r="V42" s="95"/>
      <c r="W42" s="95"/>
      <c r="X42" s="95"/>
      <c r="Y42" s="95"/>
      <c r="Z42" s="95"/>
      <c r="AA42" s="95"/>
      <c r="AB42" s="95"/>
      <c r="AC42" s="95"/>
      <c r="AD42" s="108"/>
      <c r="AE42" s="96"/>
    </row>
    <row r="43" spans="1:31" ht="12" customHeight="1" x14ac:dyDescent="0.2">
      <c r="A43" s="27">
        <v>28</v>
      </c>
      <c r="B43" s="40" t="s">
        <v>28</v>
      </c>
      <c r="C43" s="186" t="s">
        <v>38</v>
      </c>
      <c r="D43" s="187"/>
      <c r="E43" s="188"/>
      <c r="F43" s="143" t="s">
        <v>56</v>
      </c>
      <c r="G43" s="144"/>
      <c r="H43" s="41">
        <v>1</v>
      </c>
      <c r="I43" s="40"/>
      <c r="J43" s="40"/>
      <c r="K43" s="40"/>
      <c r="L43" s="40"/>
      <c r="M43" s="40"/>
      <c r="N43" s="37"/>
      <c r="O43" s="32">
        <f t="shared" si="2"/>
        <v>1</v>
      </c>
      <c r="P43" s="42">
        <v>12</v>
      </c>
      <c r="Q43" s="34">
        <f t="shared" si="3"/>
        <v>12</v>
      </c>
      <c r="S43" s="107"/>
      <c r="T43" s="107" t="s">
        <v>83</v>
      </c>
      <c r="U43" s="95"/>
      <c r="V43" s="95"/>
      <c r="W43" s="95"/>
      <c r="X43" s="95"/>
      <c r="Y43" s="95"/>
      <c r="Z43" s="95"/>
      <c r="AA43" s="95"/>
      <c r="AB43" s="95"/>
      <c r="AC43" s="95"/>
      <c r="AD43" s="108"/>
      <c r="AE43" s="96"/>
    </row>
    <row r="44" spans="1:31" ht="12" customHeight="1" x14ac:dyDescent="0.2">
      <c r="A44" s="27">
        <v>29</v>
      </c>
      <c r="B44" s="40" t="s">
        <v>28</v>
      </c>
      <c r="C44" s="186" t="s">
        <v>38</v>
      </c>
      <c r="D44" s="187"/>
      <c r="E44" s="188"/>
      <c r="F44" s="143" t="s">
        <v>48</v>
      </c>
      <c r="G44" s="144"/>
      <c r="H44" s="41">
        <v>1</v>
      </c>
      <c r="I44" s="40"/>
      <c r="J44" s="40"/>
      <c r="K44" s="40"/>
      <c r="L44" s="40"/>
      <c r="M44" s="40"/>
      <c r="N44" s="37"/>
      <c r="O44" s="32">
        <f t="shared" si="2"/>
        <v>1</v>
      </c>
      <c r="P44" s="42">
        <v>12</v>
      </c>
      <c r="Q44" s="34">
        <f t="shared" si="3"/>
        <v>12</v>
      </c>
      <c r="S44" s="107"/>
      <c r="T44" s="107" t="s">
        <v>83</v>
      </c>
      <c r="U44" s="95" t="s">
        <v>84</v>
      </c>
      <c r="V44" s="95"/>
      <c r="W44" s="95"/>
      <c r="X44" s="95"/>
      <c r="Y44" s="95"/>
      <c r="Z44" s="95"/>
      <c r="AA44" s="95"/>
      <c r="AB44" s="95"/>
      <c r="AC44" s="95"/>
      <c r="AE44" s="96"/>
    </row>
    <row r="45" spans="1:31" ht="12" customHeight="1" x14ac:dyDescent="0.2">
      <c r="A45" s="27">
        <v>30</v>
      </c>
      <c r="B45" s="40" t="s">
        <v>28</v>
      </c>
      <c r="C45" s="186" t="s">
        <v>38</v>
      </c>
      <c r="D45" s="187"/>
      <c r="E45" s="188"/>
      <c r="F45" s="143" t="s">
        <v>49</v>
      </c>
      <c r="G45" s="144"/>
      <c r="H45" s="41">
        <v>1</v>
      </c>
      <c r="I45" s="40"/>
      <c r="J45" s="40"/>
      <c r="K45" s="40"/>
      <c r="L45" s="40"/>
      <c r="M45" s="40"/>
      <c r="N45" s="37"/>
      <c r="O45" s="32">
        <f t="shared" si="2"/>
        <v>1</v>
      </c>
      <c r="P45" s="42">
        <v>12</v>
      </c>
      <c r="Q45" s="34">
        <f t="shared" si="3"/>
        <v>12</v>
      </c>
      <c r="S45" s="107"/>
      <c r="T45" s="107" t="s">
        <v>83</v>
      </c>
      <c r="U45" s="95" t="s">
        <v>84</v>
      </c>
      <c r="V45" s="95"/>
      <c r="W45" s="95"/>
      <c r="X45" s="95"/>
      <c r="Y45" s="95"/>
      <c r="Z45" s="95"/>
      <c r="AA45" s="95"/>
      <c r="AB45" s="95"/>
      <c r="AC45" s="95"/>
      <c r="AD45" s="108"/>
      <c r="AE45" s="96"/>
    </row>
    <row r="46" spans="1:31" ht="12" customHeight="1" x14ac:dyDescent="0.2">
      <c r="A46" s="27">
        <v>31</v>
      </c>
      <c r="B46" s="40"/>
      <c r="C46" s="186"/>
      <c r="D46" s="187"/>
      <c r="E46" s="188"/>
      <c r="F46" s="143"/>
      <c r="G46" s="144"/>
      <c r="H46" s="41"/>
      <c r="I46" s="40"/>
      <c r="J46" s="40"/>
      <c r="K46" s="40"/>
      <c r="L46" s="40"/>
      <c r="M46" s="40"/>
      <c r="N46" s="37"/>
      <c r="O46" s="32" t="str">
        <f t="shared" si="2"/>
        <v/>
      </c>
      <c r="P46" s="42"/>
      <c r="Q46" s="34" t="str">
        <f t="shared" si="3"/>
        <v/>
      </c>
      <c r="S46" s="107"/>
      <c r="T46" s="107"/>
      <c r="U46" s="95"/>
      <c r="V46" s="95"/>
      <c r="W46" s="95"/>
      <c r="X46" s="95"/>
      <c r="Y46" s="95"/>
      <c r="Z46" s="95"/>
      <c r="AA46" s="95"/>
      <c r="AB46" s="95"/>
      <c r="AC46" s="95"/>
      <c r="AD46" s="108"/>
      <c r="AE46" s="96"/>
    </row>
    <row r="47" spans="1:31" ht="12" customHeight="1" x14ac:dyDescent="0.2">
      <c r="A47" s="27">
        <v>32</v>
      </c>
      <c r="B47" s="40" t="s">
        <v>50</v>
      </c>
      <c r="C47" s="186" t="s">
        <v>39</v>
      </c>
      <c r="D47" s="187"/>
      <c r="E47" s="188"/>
      <c r="F47" s="143" t="s">
        <v>51</v>
      </c>
      <c r="G47" s="144"/>
      <c r="H47" s="41">
        <v>1</v>
      </c>
      <c r="I47" s="40"/>
      <c r="J47" s="40"/>
      <c r="K47" s="40"/>
      <c r="L47" s="40"/>
      <c r="M47" s="40"/>
      <c r="N47" s="37"/>
      <c r="O47" s="32">
        <f t="shared" si="2"/>
        <v>1</v>
      </c>
      <c r="P47" s="42">
        <v>12</v>
      </c>
      <c r="Q47" s="34">
        <f t="shared" si="3"/>
        <v>12</v>
      </c>
      <c r="S47" s="107"/>
      <c r="T47" s="107" t="s">
        <v>83</v>
      </c>
      <c r="U47" s="95" t="s">
        <v>84</v>
      </c>
      <c r="V47" s="95"/>
      <c r="W47" s="95"/>
      <c r="X47" s="95"/>
      <c r="Y47" s="95"/>
      <c r="Z47" s="95"/>
      <c r="AA47" s="95"/>
      <c r="AB47" s="95"/>
      <c r="AC47" s="95"/>
      <c r="AD47" s="108"/>
      <c r="AE47" s="96"/>
    </row>
    <row r="48" spans="1:31" ht="12" customHeight="1" x14ac:dyDescent="0.2">
      <c r="A48" s="27">
        <v>33</v>
      </c>
      <c r="B48" s="40" t="s">
        <v>50</v>
      </c>
      <c r="C48" s="186" t="s">
        <v>39</v>
      </c>
      <c r="D48" s="187"/>
      <c r="E48" s="188"/>
      <c r="F48" s="143" t="s">
        <v>9</v>
      </c>
      <c r="G48" s="144"/>
      <c r="H48" s="41">
        <v>1</v>
      </c>
      <c r="I48" s="40"/>
      <c r="J48" s="40"/>
      <c r="K48" s="40"/>
      <c r="L48" s="40"/>
      <c r="M48" s="40"/>
      <c r="N48" s="43"/>
      <c r="O48" s="32">
        <f t="shared" si="2"/>
        <v>1</v>
      </c>
      <c r="P48" s="42">
        <v>12</v>
      </c>
      <c r="Q48" s="34">
        <f t="shared" si="3"/>
        <v>12</v>
      </c>
      <c r="S48" s="107"/>
      <c r="T48" s="107" t="s">
        <v>83</v>
      </c>
      <c r="U48" s="95" t="s">
        <v>84</v>
      </c>
      <c r="V48" s="95"/>
      <c r="W48" s="95"/>
      <c r="X48" s="95"/>
      <c r="Y48" s="95"/>
      <c r="Z48" s="95"/>
      <c r="AA48" s="95"/>
      <c r="AB48" s="95"/>
      <c r="AC48" s="95"/>
      <c r="AD48" s="108"/>
      <c r="AE48" s="96"/>
    </row>
    <row r="49" spans="1:31" ht="12" customHeight="1" x14ac:dyDescent="0.2">
      <c r="A49" s="27">
        <v>34</v>
      </c>
      <c r="B49" s="118" t="s">
        <v>52</v>
      </c>
      <c r="C49" s="200" t="s">
        <v>40</v>
      </c>
      <c r="D49" s="201"/>
      <c r="E49" s="202"/>
      <c r="F49" s="160" t="s">
        <v>7</v>
      </c>
      <c r="G49" s="162"/>
      <c r="H49" s="45">
        <v>2</v>
      </c>
      <c r="I49" s="48"/>
      <c r="J49" s="48"/>
      <c r="K49" s="48"/>
      <c r="L49" s="48"/>
      <c r="M49" s="48"/>
      <c r="N49" s="43"/>
      <c r="O49" s="32">
        <f t="shared" si="2"/>
        <v>2</v>
      </c>
      <c r="P49" s="42">
        <v>13.5</v>
      </c>
      <c r="Q49" s="34">
        <f t="shared" si="3"/>
        <v>27</v>
      </c>
      <c r="S49" s="107"/>
      <c r="T49" s="107" t="s">
        <v>83</v>
      </c>
      <c r="U49" s="95"/>
      <c r="V49" s="95"/>
      <c r="W49" s="95"/>
      <c r="X49" s="95"/>
      <c r="Y49" s="95"/>
      <c r="Z49" s="95"/>
      <c r="AA49" s="95"/>
      <c r="AB49" s="95"/>
      <c r="AC49" s="95"/>
      <c r="AE49" s="96"/>
    </row>
    <row r="50" spans="1:31" ht="12" customHeight="1" x14ac:dyDescent="0.2">
      <c r="A50" s="27">
        <v>35</v>
      </c>
      <c r="B50" s="118" t="s">
        <v>52</v>
      </c>
      <c r="C50" s="200" t="s">
        <v>40</v>
      </c>
      <c r="D50" s="201"/>
      <c r="E50" s="202"/>
      <c r="F50" s="271" t="s">
        <v>26</v>
      </c>
      <c r="G50" s="272"/>
      <c r="H50" s="45">
        <v>1</v>
      </c>
      <c r="I50" s="48"/>
      <c r="J50" s="48"/>
      <c r="K50" s="48"/>
      <c r="L50" s="48"/>
      <c r="M50" s="48"/>
      <c r="N50" s="43"/>
      <c r="O50" s="32">
        <f t="shared" si="2"/>
        <v>1</v>
      </c>
      <c r="P50" s="42">
        <v>13.5</v>
      </c>
      <c r="Q50" s="34">
        <f t="shared" si="3"/>
        <v>13.5</v>
      </c>
      <c r="S50" s="107"/>
      <c r="T50" s="107" t="s">
        <v>83</v>
      </c>
      <c r="U50" s="95"/>
      <c r="V50" s="95"/>
      <c r="W50" s="95"/>
      <c r="X50" s="95"/>
      <c r="Y50" s="95"/>
      <c r="Z50" s="95"/>
      <c r="AA50" s="95"/>
      <c r="AB50" s="95"/>
      <c r="AC50" s="95"/>
      <c r="AD50" s="108"/>
      <c r="AE50" s="96"/>
    </row>
    <row r="51" spans="1:31" ht="12" customHeight="1" x14ac:dyDescent="0.2">
      <c r="A51" s="27">
        <v>36</v>
      </c>
      <c r="B51" s="118" t="s">
        <v>52</v>
      </c>
      <c r="C51" s="200" t="s">
        <v>40</v>
      </c>
      <c r="D51" s="201"/>
      <c r="E51" s="202"/>
      <c r="F51" s="160" t="s">
        <v>48</v>
      </c>
      <c r="G51" s="161"/>
      <c r="H51" s="44">
        <v>1</v>
      </c>
      <c r="I51" s="48"/>
      <c r="J51" s="48"/>
      <c r="K51" s="48"/>
      <c r="L51" s="48"/>
      <c r="M51" s="48"/>
      <c r="N51" s="43"/>
      <c r="O51" s="32">
        <f t="shared" si="2"/>
        <v>1</v>
      </c>
      <c r="P51" s="50">
        <v>13.5</v>
      </c>
      <c r="Q51" s="34">
        <f t="shared" si="3"/>
        <v>13.5</v>
      </c>
      <c r="S51" s="107"/>
      <c r="T51" s="107" t="s">
        <v>83</v>
      </c>
      <c r="U51" s="95"/>
      <c r="V51" s="95"/>
      <c r="W51" s="95"/>
      <c r="X51" s="95"/>
      <c r="Y51" s="95"/>
      <c r="Z51" s="95"/>
      <c r="AA51" s="95"/>
      <c r="AB51" s="95"/>
      <c r="AC51" s="95"/>
      <c r="AD51" s="108"/>
      <c r="AE51" s="96"/>
    </row>
    <row r="52" spans="1:31" ht="12" customHeight="1" x14ac:dyDescent="0.2">
      <c r="A52" s="27">
        <v>37</v>
      </c>
      <c r="B52" s="118"/>
      <c r="C52" s="274"/>
      <c r="D52" s="274"/>
      <c r="E52" s="274"/>
      <c r="F52" s="162"/>
      <c r="G52" s="161"/>
      <c r="H52" s="44"/>
      <c r="I52" s="48"/>
      <c r="J52" s="48"/>
      <c r="K52" s="48"/>
      <c r="L52" s="48"/>
      <c r="M52" s="48"/>
      <c r="N52" s="43"/>
      <c r="O52" s="32" t="str">
        <f t="shared" si="2"/>
        <v/>
      </c>
      <c r="P52" s="50"/>
      <c r="Q52" s="34" t="str">
        <f t="shared" si="3"/>
        <v/>
      </c>
      <c r="S52" s="107"/>
      <c r="T52" s="107"/>
      <c r="U52" s="95"/>
      <c r="V52" s="95"/>
      <c r="W52" s="95"/>
      <c r="X52" s="95"/>
      <c r="Y52" s="95"/>
      <c r="Z52" s="95"/>
      <c r="AA52" s="95"/>
      <c r="AB52" s="95"/>
      <c r="AC52" s="95"/>
      <c r="AD52" s="108"/>
      <c r="AE52" s="96"/>
    </row>
    <row r="53" spans="1:31" ht="12" customHeight="1" x14ac:dyDescent="0.2">
      <c r="A53" s="27">
        <v>38</v>
      </c>
      <c r="B53" s="118" t="s">
        <v>53</v>
      </c>
      <c r="C53" s="274" t="s">
        <v>41</v>
      </c>
      <c r="D53" s="274"/>
      <c r="E53" s="274"/>
      <c r="F53" s="162" t="s">
        <v>54</v>
      </c>
      <c r="G53" s="161"/>
      <c r="H53" s="44">
        <v>2</v>
      </c>
      <c r="I53" s="48"/>
      <c r="J53" s="48"/>
      <c r="K53" s="48"/>
      <c r="L53" s="48"/>
      <c r="M53" s="48"/>
      <c r="N53" s="43"/>
      <c r="O53" s="32">
        <f t="shared" si="2"/>
        <v>2</v>
      </c>
      <c r="P53" s="50">
        <v>28</v>
      </c>
      <c r="Q53" s="34">
        <f t="shared" si="3"/>
        <v>56</v>
      </c>
      <c r="S53" s="107"/>
      <c r="T53" s="107" t="s">
        <v>83</v>
      </c>
      <c r="U53" s="95"/>
      <c r="V53" s="95"/>
      <c r="W53" s="95"/>
      <c r="X53" s="95"/>
      <c r="Y53" s="95"/>
      <c r="Z53" s="95"/>
      <c r="AA53" s="95"/>
      <c r="AB53" s="95"/>
      <c r="AC53" s="95"/>
      <c r="AD53" s="108"/>
      <c r="AE53" s="96"/>
    </row>
    <row r="54" spans="1:31" ht="12" customHeight="1" x14ac:dyDescent="0.2">
      <c r="A54" s="27">
        <v>39</v>
      </c>
      <c r="B54" s="118" t="s">
        <v>53</v>
      </c>
      <c r="C54" s="274" t="s">
        <v>41</v>
      </c>
      <c r="D54" s="274"/>
      <c r="E54" s="274"/>
      <c r="F54" s="271" t="s">
        <v>18</v>
      </c>
      <c r="G54" s="273"/>
      <c r="H54" s="44">
        <v>1</v>
      </c>
      <c r="I54" s="48"/>
      <c r="J54" s="48"/>
      <c r="K54" s="48"/>
      <c r="L54" s="48"/>
      <c r="M54" s="48"/>
      <c r="N54" s="43"/>
      <c r="O54" s="32">
        <f t="shared" si="2"/>
        <v>1</v>
      </c>
      <c r="P54" s="50">
        <v>28</v>
      </c>
      <c r="Q54" s="34">
        <f t="shared" si="3"/>
        <v>28</v>
      </c>
      <c r="S54" s="107"/>
      <c r="T54" s="107" t="s">
        <v>83</v>
      </c>
      <c r="U54" s="95"/>
      <c r="V54" s="95"/>
      <c r="W54" s="95"/>
      <c r="X54" s="95"/>
      <c r="Y54" s="95"/>
      <c r="Z54" s="95"/>
      <c r="AA54" s="95"/>
      <c r="AB54" s="95"/>
      <c r="AC54" s="95"/>
      <c r="AD54" s="108"/>
      <c r="AE54" s="96"/>
    </row>
    <row r="55" spans="1:31" ht="12" customHeight="1" thickBot="1" x14ac:dyDescent="0.25">
      <c r="A55" s="27">
        <v>40</v>
      </c>
      <c r="B55" s="118" t="s">
        <v>55</v>
      </c>
      <c r="C55" s="274" t="s">
        <v>42</v>
      </c>
      <c r="D55" s="274"/>
      <c r="E55" s="200"/>
      <c r="F55" s="277" t="s">
        <v>7</v>
      </c>
      <c r="G55" s="278"/>
      <c r="H55" s="44">
        <v>1</v>
      </c>
      <c r="I55" s="48"/>
      <c r="J55" s="48"/>
      <c r="K55" s="48"/>
      <c r="L55" s="137"/>
      <c r="M55" s="137"/>
      <c r="N55" s="138"/>
      <c r="O55" s="49">
        <f t="shared" si="2"/>
        <v>1</v>
      </c>
      <c r="P55" s="50">
        <v>61</v>
      </c>
      <c r="Q55" s="51">
        <f t="shared" si="3"/>
        <v>61</v>
      </c>
      <c r="S55" s="107"/>
      <c r="T55" s="107" t="s">
        <v>83</v>
      </c>
      <c r="U55" s="95"/>
      <c r="V55" s="95"/>
      <c r="W55" s="95"/>
      <c r="X55" s="95"/>
      <c r="Y55" s="95"/>
      <c r="Z55" s="95"/>
      <c r="AA55" s="95"/>
      <c r="AB55" s="95"/>
      <c r="AC55" s="95"/>
      <c r="AD55" s="108"/>
      <c r="AE55" s="96"/>
    </row>
    <row r="56" spans="1:31" ht="15" customHeight="1" thickBot="1" x14ac:dyDescent="0.25">
      <c r="A56" s="52"/>
      <c r="B56" s="53"/>
      <c r="C56" s="279"/>
      <c r="D56" s="279"/>
      <c r="E56" s="279"/>
      <c r="F56" s="280"/>
      <c r="G56" s="280"/>
      <c r="H56" s="53"/>
      <c r="I56" s="53"/>
      <c r="J56" s="53"/>
      <c r="K56" s="53"/>
      <c r="L56" s="157" t="s">
        <v>78</v>
      </c>
      <c r="M56" s="158"/>
      <c r="N56" s="159"/>
      <c r="O56" s="54">
        <f>SUM(O16:O55)</f>
        <v>39</v>
      </c>
      <c r="P56" s="55"/>
      <c r="Q56" s="56">
        <f>SUM(Q16:Q55)</f>
        <v>709.5</v>
      </c>
      <c r="S56" s="107"/>
      <c r="T56" s="107"/>
      <c r="U56" s="95" t="s">
        <v>85</v>
      </c>
      <c r="V56" s="95"/>
      <c r="W56" s="95"/>
      <c r="X56" s="95"/>
      <c r="Y56" s="95"/>
      <c r="Z56" s="95"/>
      <c r="AA56" s="95"/>
      <c r="AB56" s="95"/>
      <c r="AC56" s="95"/>
      <c r="AD56" s="108"/>
      <c r="AE56" s="96"/>
    </row>
    <row r="57" spans="1:31" ht="13.5" customHeight="1" thickBot="1" x14ac:dyDescent="0.25">
      <c r="A57" s="253" t="s">
        <v>79</v>
      </c>
      <c r="B57" s="254"/>
      <c r="C57" s="254"/>
      <c r="D57" s="254"/>
      <c r="E57" s="254"/>
      <c r="F57" s="254"/>
      <c r="G57" s="254"/>
      <c r="H57" s="254"/>
      <c r="I57" s="254"/>
      <c r="J57" s="255"/>
      <c r="K57" s="57"/>
      <c r="L57" s="145" t="s">
        <v>43</v>
      </c>
      <c r="M57" s="146"/>
      <c r="N57" s="147"/>
      <c r="O57" s="61"/>
      <c r="P57" s="62"/>
      <c r="Q57" s="129">
        <v>70</v>
      </c>
      <c r="S57" s="107"/>
      <c r="T57" s="107"/>
      <c r="U57" s="95"/>
      <c r="V57" s="95"/>
      <c r="W57" s="95"/>
      <c r="X57" s="95"/>
      <c r="Y57" s="95"/>
      <c r="Z57" s="95"/>
      <c r="AA57" s="95"/>
      <c r="AB57" s="95"/>
      <c r="AC57" s="95"/>
      <c r="AD57" s="108"/>
      <c r="AE57" s="96"/>
    </row>
    <row r="58" spans="1:31" ht="13.5" customHeight="1" thickBot="1" x14ac:dyDescent="0.25">
      <c r="A58" s="256"/>
      <c r="B58" s="257"/>
      <c r="C58" s="257"/>
      <c r="D58" s="257"/>
      <c r="E58" s="257"/>
      <c r="F58" s="257"/>
      <c r="G58" s="257"/>
      <c r="H58" s="257"/>
      <c r="I58" s="257"/>
      <c r="J58" s="258"/>
      <c r="K58" s="57"/>
      <c r="L58" s="145" t="s">
        <v>45</v>
      </c>
      <c r="M58" s="146"/>
      <c r="N58" s="147"/>
      <c r="O58" s="130"/>
      <c r="P58" s="130"/>
      <c r="Q58" s="131"/>
      <c r="S58" s="107"/>
      <c r="T58" s="107"/>
      <c r="U58" s="95"/>
      <c r="V58" s="95"/>
      <c r="W58" s="95"/>
      <c r="X58" s="95"/>
      <c r="Y58" s="95"/>
      <c r="Z58" s="95"/>
      <c r="AA58" s="95"/>
      <c r="AB58" s="95"/>
      <c r="AC58" s="95"/>
      <c r="AE58" s="96"/>
    </row>
    <row r="59" spans="1:31" ht="13.5" customHeight="1" thickBot="1" x14ac:dyDescent="0.25">
      <c r="A59" s="256"/>
      <c r="B59" s="257"/>
      <c r="C59" s="257"/>
      <c r="D59" s="257"/>
      <c r="E59" s="257"/>
      <c r="F59" s="257"/>
      <c r="G59" s="257"/>
      <c r="H59" s="257"/>
      <c r="I59" s="257"/>
      <c r="J59" s="258"/>
      <c r="K59" s="57"/>
      <c r="L59" s="145" t="s">
        <v>44</v>
      </c>
      <c r="M59" s="146"/>
      <c r="N59" s="147"/>
      <c r="O59" s="132"/>
      <c r="P59" s="132"/>
      <c r="Q59" s="133">
        <f>SUM(Q56:Q58)</f>
        <v>779.5</v>
      </c>
      <c r="S59" s="107"/>
      <c r="T59" s="107"/>
      <c r="U59" s="95"/>
      <c r="V59" s="95"/>
      <c r="W59" s="95"/>
      <c r="X59" s="95"/>
      <c r="Y59" s="95"/>
      <c r="Z59" s="95"/>
      <c r="AA59" s="95"/>
      <c r="AB59" s="95"/>
      <c r="AC59" s="95"/>
      <c r="AD59" s="108"/>
      <c r="AE59" s="96"/>
    </row>
    <row r="60" spans="1:31" ht="13.5" customHeight="1" thickBot="1" x14ac:dyDescent="0.25">
      <c r="A60" s="259"/>
      <c r="B60" s="260"/>
      <c r="C60" s="260"/>
      <c r="D60" s="260"/>
      <c r="E60" s="260"/>
      <c r="F60" s="260"/>
      <c r="G60" s="260"/>
      <c r="H60" s="260"/>
      <c r="I60" s="260"/>
      <c r="J60" s="261"/>
      <c r="K60" s="57"/>
      <c r="L60" s="65"/>
      <c r="M60" s="65"/>
      <c r="N60" s="65"/>
      <c r="O60" s="132"/>
      <c r="P60" s="132"/>
      <c r="Q60" s="132"/>
      <c r="S60" s="107"/>
      <c r="T60" s="107"/>
      <c r="U60" s="95"/>
      <c r="V60" s="95"/>
      <c r="W60" s="95"/>
      <c r="X60" s="95"/>
      <c r="Y60" s="95"/>
      <c r="Z60" s="95"/>
      <c r="AA60" s="95"/>
      <c r="AB60" s="95"/>
      <c r="AC60" s="95"/>
      <c r="AD60" s="108"/>
      <c r="AE60" s="96"/>
    </row>
    <row r="61" spans="1:31" ht="12" customHeight="1" thickBot="1" x14ac:dyDescent="0.25">
      <c r="A61" s="262" t="s">
        <v>0</v>
      </c>
      <c r="B61" s="263"/>
      <c r="C61" s="263"/>
      <c r="D61" s="263"/>
      <c r="E61" s="263"/>
      <c r="F61" s="263"/>
      <c r="G61" s="263"/>
      <c r="H61" s="263"/>
      <c r="I61" s="263"/>
      <c r="J61" s="264"/>
      <c r="K61" s="67"/>
      <c r="L61" s="134"/>
      <c r="M61" s="134"/>
      <c r="N61" s="134"/>
      <c r="O61" s="81"/>
      <c r="P61" s="132"/>
      <c r="Q61" s="132"/>
      <c r="S61" s="107"/>
      <c r="T61" s="107"/>
      <c r="U61" s="95"/>
      <c r="V61" s="95"/>
      <c r="W61" s="95"/>
      <c r="X61" s="95"/>
      <c r="Y61" s="95"/>
      <c r="Z61" s="95"/>
      <c r="AA61" s="95"/>
      <c r="AB61" s="95"/>
      <c r="AC61" s="95"/>
      <c r="AE61" s="96"/>
    </row>
    <row r="62" spans="1:31" ht="12" customHeight="1" x14ac:dyDescent="0.2">
      <c r="A62" s="265"/>
      <c r="B62" s="266"/>
      <c r="C62" s="266"/>
      <c r="D62" s="266"/>
      <c r="E62" s="266"/>
      <c r="F62" s="266"/>
      <c r="G62" s="266"/>
      <c r="H62" s="266"/>
      <c r="I62" s="266"/>
      <c r="J62" s="267"/>
      <c r="K62" s="67"/>
      <c r="L62" s="135"/>
      <c r="M62" s="135"/>
      <c r="N62" s="135"/>
      <c r="O62" s="148" t="s">
        <v>80</v>
      </c>
      <c r="P62" s="149"/>
      <c r="Q62" s="150"/>
      <c r="S62" s="107"/>
      <c r="T62" s="107"/>
      <c r="U62" s="95"/>
      <c r="V62" s="95"/>
      <c r="W62" s="95"/>
      <c r="X62" s="95"/>
      <c r="Y62" s="95"/>
      <c r="Z62" s="95"/>
      <c r="AA62" s="95"/>
      <c r="AB62" s="95"/>
      <c r="AC62" s="95"/>
      <c r="AD62" s="108"/>
      <c r="AE62" s="96"/>
    </row>
    <row r="63" spans="1:31" ht="12" customHeight="1" x14ac:dyDescent="0.2">
      <c r="A63" s="265"/>
      <c r="B63" s="266"/>
      <c r="C63" s="266"/>
      <c r="D63" s="266"/>
      <c r="E63" s="266"/>
      <c r="F63" s="266"/>
      <c r="G63" s="266"/>
      <c r="H63" s="266"/>
      <c r="I63" s="266"/>
      <c r="J63" s="267"/>
      <c r="K63" s="67"/>
      <c r="L63" s="135"/>
      <c r="M63" s="135"/>
      <c r="N63" s="135"/>
      <c r="O63" s="151"/>
      <c r="P63" s="152"/>
      <c r="Q63" s="153"/>
      <c r="S63" s="107"/>
      <c r="T63" s="107"/>
      <c r="U63" s="95"/>
      <c r="V63" s="95"/>
      <c r="W63" s="95"/>
      <c r="X63" s="95"/>
      <c r="Y63" s="95"/>
      <c r="Z63" s="95"/>
      <c r="AA63" s="95"/>
      <c r="AB63" s="95"/>
      <c r="AC63" s="95"/>
      <c r="AD63" s="108"/>
      <c r="AE63" s="96"/>
    </row>
    <row r="64" spans="1:31" ht="12" customHeight="1" thickBot="1" x14ac:dyDescent="0.25">
      <c r="A64" s="268"/>
      <c r="B64" s="269"/>
      <c r="C64" s="269"/>
      <c r="D64" s="269"/>
      <c r="E64" s="269"/>
      <c r="F64" s="269"/>
      <c r="G64" s="269"/>
      <c r="H64" s="269"/>
      <c r="I64" s="269"/>
      <c r="J64" s="270"/>
      <c r="K64" s="70"/>
      <c r="L64" s="136"/>
      <c r="M64" s="136"/>
      <c r="N64" s="136"/>
      <c r="O64" s="154"/>
      <c r="P64" s="155"/>
      <c r="Q64" s="156"/>
      <c r="S64" s="107"/>
      <c r="T64" s="107"/>
      <c r="U64" s="95"/>
      <c r="V64" s="95"/>
      <c r="W64" s="95"/>
      <c r="X64" s="95"/>
      <c r="Y64" s="95"/>
      <c r="Z64" s="95"/>
      <c r="AA64" s="95"/>
      <c r="AB64" s="95"/>
      <c r="AC64" s="95"/>
      <c r="AD64" s="108"/>
      <c r="AE64" s="96"/>
    </row>
    <row r="65" spans="1:31" ht="12" customHeight="1" x14ac:dyDescent="0.2">
      <c r="A65" s="72"/>
      <c r="B65" s="72"/>
      <c r="C65" s="72"/>
      <c r="D65" s="72"/>
      <c r="E65" s="72"/>
      <c r="F65" s="72"/>
      <c r="G65" s="72"/>
      <c r="H65" s="72"/>
      <c r="I65" s="69"/>
      <c r="J65" s="69"/>
      <c r="K65" s="69"/>
      <c r="L65" s="69"/>
      <c r="M65" s="69"/>
      <c r="N65" s="69"/>
      <c r="O65" s="73"/>
      <c r="P65" s="73"/>
      <c r="Q65" s="73"/>
      <c r="S65" s="107"/>
      <c r="T65" s="107"/>
      <c r="U65" s="95"/>
      <c r="V65" s="95"/>
      <c r="W65" s="95"/>
      <c r="X65" s="95"/>
      <c r="Y65" s="95"/>
      <c r="Z65" s="95"/>
      <c r="AA65" s="95"/>
      <c r="AB65" s="95"/>
      <c r="AC65" s="95"/>
      <c r="AD65" s="108"/>
      <c r="AE65" s="96"/>
    </row>
    <row r="66" spans="1:31" ht="12" customHeight="1" x14ac:dyDescent="0.2">
      <c r="A66" s="74"/>
      <c r="B66" s="74"/>
      <c r="C66" s="74"/>
      <c r="D66" s="74"/>
      <c r="E66" s="74"/>
      <c r="F66" s="74"/>
      <c r="G66" s="74"/>
      <c r="H66" s="74"/>
      <c r="I66" s="74"/>
      <c r="J66" s="74"/>
      <c r="K66" s="74"/>
      <c r="L66" s="74"/>
      <c r="M66" s="74"/>
      <c r="N66" s="74"/>
      <c r="O66" s="73"/>
      <c r="P66" s="73"/>
      <c r="Q66" s="73"/>
      <c r="U66" s="95"/>
      <c r="V66" s="95"/>
      <c r="W66" s="95"/>
      <c r="X66" s="95"/>
      <c r="Y66" s="95"/>
      <c r="Z66" s="95"/>
      <c r="AA66" s="95"/>
      <c r="AB66" s="95"/>
      <c r="AC66" s="95"/>
      <c r="AE66" s="96"/>
    </row>
    <row r="67" spans="1:31" ht="12" customHeight="1" x14ac:dyDescent="0.2">
      <c r="A67" s="74"/>
      <c r="B67" s="74"/>
      <c r="C67" s="74"/>
      <c r="D67" s="74"/>
      <c r="E67" s="74"/>
      <c r="F67" s="74"/>
      <c r="G67" s="74"/>
      <c r="H67" s="74"/>
      <c r="I67" s="74"/>
      <c r="J67" s="74"/>
      <c r="K67" s="74"/>
      <c r="L67" s="74"/>
      <c r="M67" s="74"/>
      <c r="N67" s="74"/>
      <c r="O67" s="74"/>
      <c r="P67" s="74"/>
      <c r="Q67" s="74"/>
      <c r="S67" s="107"/>
      <c r="T67" s="107"/>
      <c r="U67" s="95"/>
      <c r="V67" s="95"/>
      <c r="W67" s="95"/>
      <c r="X67" s="95"/>
      <c r="Y67" s="95"/>
      <c r="Z67" s="95"/>
      <c r="AA67" s="95"/>
      <c r="AB67" s="95"/>
      <c r="AC67" s="95"/>
      <c r="AD67" s="108"/>
      <c r="AE67" s="96"/>
    </row>
    <row r="68" spans="1:31" ht="12" customHeight="1" x14ac:dyDescent="0.2">
      <c r="A68" s="74"/>
      <c r="B68" s="74"/>
      <c r="C68" s="74"/>
      <c r="D68" s="74"/>
      <c r="E68" s="74"/>
      <c r="F68" s="74"/>
      <c r="G68" s="74"/>
      <c r="H68" s="74"/>
      <c r="I68" s="74"/>
      <c r="J68" s="74"/>
      <c r="K68" s="74"/>
      <c r="L68" s="74"/>
      <c r="M68" s="74"/>
      <c r="N68" s="74"/>
      <c r="O68" s="74"/>
      <c r="P68" s="74"/>
      <c r="Q68" s="74"/>
      <c r="S68" s="107"/>
      <c r="T68" s="107"/>
      <c r="U68" s="95"/>
      <c r="V68" s="95"/>
      <c r="W68" s="95"/>
      <c r="X68" s="95"/>
      <c r="Y68" s="95"/>
      <c r="Z68" s="95"/>
      <c r="AA68" s="95"/>
      <c r="AB68" s="95"/>
      <c r="AC68" s="95"/>
      <c r="AD68" s="108"/>
      <c r="AE68" s="96"/>
    </row>
    <row r="69" spans="1:31" ht="12" customHeight="1" x14ac:dyDescent="0.2">
      <c r="A69" s="74"/>
      <c r="B69" s="74"/>
      <c r="C69" s="74"/>
      <c r="D69" s="74"/>
      <c r="E69" s="74"/>
      <c r="F69" s="74"/>
      <c r="G69" s="74"/>
      <c r="H69" s="74"/>
      <c r="I69" s="74"/>
      <c r="J69" s="74"/>
      <c r="K69" s="74"/>
      <c r="L69" s="74"/>
      <c r="M69" s="74"/>
      <c r="N69" s="74"/>
      <c r="O69" s="74"/>
      <c r="P69" s="74"/>
      <c r="Q69" s="74"/>
      <c r="S69" s="107"/>
      <c r="T69" s="107"/>
      <c r="U69" s="95"/>
      <c r="V69" s="95"/>
      <c r="W69" s="95"/>
      <c r="X69" s="95"/>
      <c r="Y69" s="95"/>
      <c r="Z69" s="95"/>
      <c r="AA69" s="95"/>
      <c r="AB69" s="95"/>
      <c r="AC69" s="95"/>
      <c r="AD69" s="108"/>
      <c r="AE69" s="96"/>
    </row>
    <row r="70" spans="1:31" ht="12" customHeight="1" x14ac:dyDescent="0.2">
      <c r="S70" s="107"/>
      <c r="T70" s="107"/>
      <c r="U70" s="95"/>
      <c r="V70" s="95"/>
      <c r="W70" s="95"/>
      <c r="X70" s="95"/>
      <c r="Y70" s="95"/>
      <c r="Z70" s="95"/>
      <c r="AA70" s="95"/>
      <c r="AB70" s="95"/>
      <c r="AC70" s="95"/>
      <c r="AD70" s="108"/>
      <c r="AE70" s="96"/>
    </row>
    <row r="71" spans="1:31" ht="12" customHeight="1" x14ac:dyDescent="0.2">
      <c r="S71" s="107"/>
      <c r="T71" s="107"/>
      <c r="U71" s="95"/>
      <c r="V71" s="95"/>
      <c r="W71" s="95"/>
      <c r="X71" s="95"/>
      <c r="Y71" s="95"/>
      <c r="Z71" s="95"/>
      <c r="AA71" s="95"/>
      <c r="AB71" s="95"/>
      <c r="AC71" s="95"/>
      <c r="AE71" s="96"/>
    </row>
    <row r="72" spans="1:31" ht="12" customHeight="1" x14ac:dyDescent="0.2">
      <c r="S72" s="107"/>
      <c r="T72" s="107"/>
      <c r="U72" s="95"/>
      <c r="V72" s="95"/>
      <c r="W72" s="95"/>
      <c r="X72" s="95"/>
      <c r="Y72" s="95"/>
      <c r="Z72" s="95"/>
      <c r="AA72" s="95"/>
      <c r="AB72" s="95"/>
      <c r="AC72" s="95"/>
      <c r="AD72" s="108"/>
      <c r="AE72" s="96"/>
    </row>
    <row r="73" spans="1:31" ht="12" customHeight="1" x14ac:dyDescent="0.2">
      <c r="S73" s="107"/>
      <c r="T73" s="107"/>
      <c r="U73" s="95"/>
      <c r="V73" s="95"/>
      <c r="W73" s="95"/>
      <c r="X73" s="95"/>
      <c r="Y73" s="95"/>
      <c r="Z73" s="95"/>
      <c r="AA73" s="95"/>
      <c r="AB73" s="95"/>
      <c r="AC73" s="95"/>
      <c r="AD73" s="108"/>
      <c r="AE73" s="96"/>
    </row>
    <row r="74" spans="1:31" ht="12" customHeight="1" x14ac:dyDescent="0.2">
      <c r="S74" s="107"/>
      <c r="T74" s="107"/>
      <c r="U74" s="95"/>
      <c r="V74" s="95"/>
      <c r="W74" s="95"/>
      <c r="X74" s="95"/>
      <c r="Y74" s="95"/>
      <c r="Z74" s="95"/>
      <c r="AA74" s="95"/>
      <c r="AB74" s="95"/>
      <c r="AC74" s="95"/>
      <c r="AD74" s="108"/>
      <c r="AE74" s="96"/>
    </row>
    <row r="75" spans="1:31" ht="12" customHeight="1" x14ac:dyDescent="0.2">
      <c r="S75" s="107"/>
      <c r="T75" s="107"/>
      <c r="U75" s="95"/>
      <c r="V75" s="95"/>
      <c r="W75" s="95"/>
      <c r="X75" s="95"/>
      <c r="Y75" s="95"/>
      <c r="Z75" s="95"/>
      <c r="AA75" s="95"/>
      <c r="AB75" s="95"/>
      <c r="AC75" s="95"/>
      <c r="AD75" s="108"/>
      <c r="AE75" s="96"/>
    </row>
    <row r="76" spans="1:31" ht="12" customHeight="1" x14ac:dyDescent="0.2">
      <c r="S76" s="107"/>
      <c r="T76" s="107"/>
      <c r="U76" s="95"/>
      <c r="V76" s="95"/>
      <c r="W76" s="95"/>
      <c r="X76" s="95"/>
      <c r="Y76" s="95"/>
      <c r="Z76" s="95"/>
      <c r="AA76" s="95"/>
      <c r="AB76" s="95"/>
      <c r="AC76" s="95"/>
      <c r="AE76" s="96"/>
    </row>
    <row r="77" spans="1:31" ht="12" customHeight="1" x14ac:dyDescent="0.2">
      <c r="S77" s="107"/>
      <c r="T77" s="107"/>
      <c r="U77" s="95"/>
      <c r="V77" s="95"/>
      <c r="W77" s="95"/>
      <c r="X77" s="95"/>
      <c r="Y77" s="95"/>
      <c r="Z77" s="95"/>
      <c r="AA77" s="95"/>
      <c r="AB77" s="95"/>
      <c r="AC77" s="95"/>
      <c r="AE77" s="96"/>
    </row>
    <row r="78" spans="1:31" ht="12" customHeight="1" x14ac:dyDescent="0.2">
      <c r="S78" s="107"/>
      <c r="T78" s="107"/>
      <c r="U78" s="95"/>
      <c r="V78" s="95"/>
      <c r="W78" s="95"/>
      <c r="X78" s="95"/>
      <c r="Y78" s="95"/>
      <c r="Z78" s="95"/>
      <c r="AA78" s="95"/>
      <c r="AB78" s="95"/>
      <c r="AC78" s="95"/>
      <c r="AE78" s="96"/>
    </row>
    <row r="79" spans="1:31" ht="12" customHeight="1" x14ac:dyDescent="0.2">
      <c r="S79" s="107"/>
      <c r="T79" s="107"/>
      <c r="U79" s="95"/>
      <c r="V79" s="95"/>
      <c r="W79" s="95"/>
      <c r="X79" s="95"/>
      <c r="Y79" s="95"/>
      <c r="Z79" s="95"/>
      <c r="AA79" s="95"/>
      <c r="AB79" s="95"/>
      <c r="AC79" s="95"/>
      <c r="AE79" s="96"/>
    </row>
    <row r="80" spans="1:31" ht="12" customHeight="1" x14ac:dyDescent="0.2">
      <c r="S80" s="107"/>
      <c r="T80" s="107"/>
      <c r="U80" s="95"/>
      <c r="V80" s="95"/>
      <c r="W80" s="95"/>
      <c r="X80" s="95"/>
      <c r="Y80" s="95"/>
      <c r="Z80" s="95"/>
      <c r="AA80" s="95"/>
      <c r="AB80" s="95"/>
      <c r="AC80" s="95"/>
      <c r="AE80" s="96"/>
    </row>
    <row r="81" spans="19:31" ht="12" customHeight="1" x14ac:dyDescent="0.2">
      <c r="S81" s="107"/>
      <c r="T81" s="107"/>
      <c r="U81" s="95"/>
      <c r="V81" s="95"/>
      <c r="W81" s="95"/>
      <c r="X81" s="95"/>
      <c r="Y81" s="95"/>
      <c r="Z81" s="95"/>
      <c r="AA81" s="95"/>
      <c r="AB81" s="95"/>
      <c r="AC81" s="95"/>
      <c r="AE81" s="96"/>
    </row>
    <row r="82" spans="19:31" ht="12" customHeight="1" x14ac:dyDescent="0.2">
      <c r="S82" s="107"/>
      <c r="T82" s="107"/>
      <c r="U82" s="95"/>
      <c r="V82" s="95"/>
      <c r="W82" s="95"/>
      <c r="X82" s="95"/>
      <c r="Y82" s="95"/>
      <c r="Z82" s="95"/>
      <c r="AA82" s="95"/>
      <c r="AB82" s="95"/>
      <c r="AC82" s="95"/>
      <c r="AE82" s="96"/>
    </row>
    <row r="83" spans="19:31" ht="12" customHeight="1" x14ac:dyDescent="0.2">
      <c r="S83" s="107"/>
      <c r="T83" s="107"/>
      <c r="U83" s="95"/>
      <c r="V83" s="95"/>
      <c r="W83" s="95"/>
      <c r="X83" s="95"/>
      <c r="Y83" s="95"/>
      <c r="Z83" s="95"/>
      <c r="AA83" s="95"/>
      <c r="AB83" s="95"/>
      <c r="AC83" s="95"/>
      <c r="AE83" s="96"/>
    </row>
    <row r="84" spans="19:31" ht="12" customHeight="1" x14ac:dyDescent="0.2">
      <c r="S84" s="107"/>
      <c r="T84" s="107"/>
      <c r="U84" s="95"/>
      <c r="V84" s="95"/>
      <c r="W84" s="95"/>
      <c r="X84" s="95"/>
      <c r="Y84" s="95"/>
      <c r="Z84" s="95"/>
      <c r="AA84" s="95"/>
      <c r="AB84" s="95"/>
      <c r="AC84" s="95"/>
      <c r="AE84" s="96"/>
    </row>
    <row r="85" spans="19:31" ht="12" customHeight="1" x14ac:dyDescent="0.2">
      <c r="S85" s="107"/>
      <c r="T85" s="107"/>
      <c r="U85" s="95"/>
      <c r="V85" s="95"/>
      <c r="W85" s="95"/>
      <c r="X85" s="95"/>
      <c r="Y85" s="95"/>
      <c r="Z85" s="95"/>
      <c r="AA85" s="95"/>
      <c r="AB85" s="95"/>
      <c r="AC85" s="95"/>
      <c r="AE85" s="96"/>
    </row>
    <row r="86" spans="19:31" ht="12" customHeight="1" x14ac:dyDescent="0.2">
      <c r="S86" s="107"/>
      <c r="T86" s="107"/>
      <c r="U86" s="95"/>
      <c r="V86" s="95"/>
      <c r="W86" s="95"/>
      <c r="X86" s="95"/>
      <c r="Y86" s="95"/>
      <c r="Z86" s="95"/>
      <c r="AA86" s="95"/>
      <c r="AB86" s="95"/>
      <c r="AC86" s="95"/>
      <c r="AE86" s="96"/>
    </row>
    <row r="87" spans="19:31" ht="12" customHeight="1" x14ac:dyDescent="0.2">
      <c r="S87" s="107"/>
      <c r="T87" s="107"/>
      <c r="U87" s="95"/>
      <c r="V87" s="95"/>
      <c r="W87" s="95"/>
      <c r="X87" s="95"/>
      <c r="Y87" s="95"/>
      <c r="Z87" s="95"/>
      <c r="AA87" s="95"/>
      <c r="AB87" s="95"/>
      <c r="AC87" s="95"/>
      <c r="AE87" s="96"/>
    </row>
    <row r="88" spans="19:31" ht="12" customHeight="1" x14ac:dyDescent="0.2">
      <c r="S88" s="107"/>
      <c r="T88" s="107"/>
      <c r="U88" s="95"/>
      <c r="V88" s="95"/>
      <c r="W88" s="95"/>
      <c r="X88" s="95"/>
      <c r="Y88" s="95"/>
      <c r="Z88" s="95"/>
      <c r="AA88" s="95"/>
      <c r="AB88" s="95"/>
      <c r="AC88" s="95"/>
      <c r="AE88" s="96"/>
    </row>
    <row r="89" spans="19:31" ht="12" customHeight="1" x14ac:dyDescent="0.2">
      <c r="S89" s="107"/>
      <c r="T89" s="107"/>
      <c r="U89" s="95"/>
      <c r="V89" s="95"/>
      <c r="W89" s="95"/>
      <c r="X89" s="95"/>
      <c r="Y89" s="95"/>
      <c r="Z89" s="95"/>
      <c r="AA89" s="95"/>
      <c r="AB89" s="95"/>
      <c r="AC89" s="95"/>
      <c r="AE89" s="96"/>
    </row>
    <row r="90" spans="19:31" ht="12" customHeight="1" x14ac:dyDescent="0.2">
      <c r="S90" s="107"/>
      <c r="T90" s="107"/>
      <c r="U90" s="95"/>
      <c r="V90" s="95"/>
      <c r="W90" s="95"/>
      <c r="X90" s="95"/>
      <c r="Y90" s="95"/>
      <c r="Z90" s="95"/>
      <c r="AA90" s="95"/>
      <c r="AB90" s="95"/>
      <c r="AC90" s="95"/>
      <c r="AE90" s="96"/>
    </row>
    <row r="91" spans="19:31" ht="12" customHeight="1" x14ac:dyDescent="0.2">
      <c r="S91" s="107"/>
      <c r="T91" s="107"/>
      <c r="U91" s="95"/>
      <c r="V91" s="95"/>
      <c r="W91" s="95"/>
      <c r="X91" s="95"/>
      <c r="Y91" s="95"/>
      <c r="Z91" s="95"/>
      <c r="AA91" s="95"/>
      <c r="AB91" s="95"/>
      <c r="AC91" s="95"/>
      <c r="AE91" s="96"/>
    </row>
    <row r="92" spans="19:31" ht="12" customHeight="1" x14ac:dyDescent="0.2">
      <c r="S92" s="107"/>
      <c r="T92" s="107"/>
      <c r="U92" s="95"/>
      <c r="V92" s="95"/>
      <c r="W92" s="95"/>
      <c r="X92" s="95"/>
      <c r="Y92" s="95"/>
      <c r="Z92" s="95"/>
      <c r="AA92" s="95"/>
      <c r="AB92" s="95"/>
      <c r="AC92" s="95"/>
      <c r="AE92" s="96"/>
    </row>
    <row r="93" spans="19:31" ht="12" customHeight="1" x14ac:dyDescent="0.2">
      <c r="S93" s="107"/>
      <c r="T93" s="107"/>
      <c r="U93" s="95"/>
      <c r="V93" s="95"/>
      <c r="W93" s="95"/>
      <c r="X93" s="95"/>
      <c r="Y93" s="95"/>
      <c r="Z93" s="95"/>
      <c r="AA93" s="95"/>
      <c r="AB93" s="95"/>
      <c r="AC93" s="95"/>
      <c r="AE93" s="96"/>
    </row>
    <row r="94" spans="19:31" ht="12" customHeight="1" x14ac:dyDescent="0.2">
      <c r="S94" s="107"/>
      <c r="T94" s="107"/>
      <c r="U94" s="95"/>
      <c r="V94" s="95"/>
      <c r="W94" s="95"/>
      <c r="X94" s="95"/>
      <c r="Y94" s="95"/>
      <c r="Z94" s="95"/>
      <c r="AA94" s="95"/>
      <c r="AB94" s="95"/>
      <c r="AC94" s="95"/>
      <c r="AE94" s="96"/>
    </row>
    <row r="95" spans="19:31" ht="12" customHeight="1" x14ac:dyDescent="0.2">
      <c r="S95" s="107"/>
      <c r="T95" s="107"/>
      <c r="U95" s="95"/>
      <c r="V95" s="95"/>
      <c r="W95" s="95"/>
      <c r="X95" s="95"/>
      <c r="Y95" s="95"/>
      <c r="Z95" s="95"/>
      <c r="AA95" s="95"/>
      <c r="AB95" s="95"/>
      <c r="AC95" s="95"/>
      <c r="AE95" s="96"/>
    </row>
    <row r="96" spans="19:31" ht="12" customHeight="1" x14ac:dyDescent="0.2">
      <c r="S96" s="107"/>
      <c r="T96" s="107"/>
      <c r="U96" s="95"/>
      <c r="V96" s="95"/>
      <c r="W96" s="95"/>
      <c r="X96" s="95"/>
      <c r="Y96" s="95"/>
      <c r="Z96" s="95"/>
      <c r="AA96" s="95"/>
      <c r="AB96" s="95"/>
      <c r="AC96" s="95"/>
      <c r="AE96" s="96"/>
    </row>
    <row r="97" spans="19:31" ht="12" customHeight="1" x14ac:dyDescent="0.2">
      <c r="S97" s="107"/>
      <c r="T97" s="107"/>
      <c r="U97" s="95"/>
      <c r="V97" s="95"/>
      <c r="W97" s="95"/>
      <c r="X97" s="95"/>
      <c r="Y97" s="95"/>
      <c r="Z97" s="95"/>
      <c r="AA97" s="95"/>
      <c r="AB97" s="95"/>
      <c r="AC97" s="95"/>
      <c r="AE97" s="96"/>
    </row>
    <row r="98" spans="19:31" ht="12" customHeight="1" x14ac:dyDescent="0.2">
      <c r="S98" s="107"/>
      <c r="T98" s="107"/>
      <c r="U98" s="95"/>
      <c r="V98" s="95"/>
      <c r="W98" s="95"/>
      <c r="X98" s="95"/>
      <c r="Y98" s="95"/>
      <c r="Z98" s="95"/>
      <c r="AA98" s="95"/>
      <c r="AB98" s="95"/>
      <c r="AC98" s="95"/>
      <c r="AE98" s="96"/>
    </row>
    <row r="99" spans="19:31" ht="12" customHeight="1" x14ac:dyDescent="0.2">
      <c r="S99" s="107"/>
      <c r="T99" s="107"/>
      <c r="U99" s="95"/>
      <c r="V99" s="95"/>
      <c r="W99" s="95"/>
      <c r="X99" s="95"/>
      <c r="Y99" s="95"/>
      <c r="Z99" s="95"/>
      <c r="AA99" s="95"/>
      <c r="AB99" s="95"/>
      <c r="AC99" s="95"/>
      <c r="AE99" s="96"/>
    </row>
    <row r="100" spans="19:31" ht="12" customHeight="1" x14ac:dyDescent="0.2">
      <c r="S100" s="107"/>
      <c r="T100" s="107"/>
      <c r="U100" s="95"/>
      <c r="V100" s="95"/>
      <c r="W100" s="95"/>
      <c r="X100" s="95"/>
      <c r="Y100" s="95"/>
      <c r="Z100" s="95"/>
      <c r="AA100" s="95"/>
      <c r="AB100" s="95"/>
      <c r="AC100" s="95"/>
      <c r="AE100" s="96"/>
    </row>
    <row r="101" spans="19:31" ht="12" customHeight="1" x14ac:dyDescent="0.2">
      <c r="S101" s="107"/>
      <c r="T101" s="107"/>
      <c r="U101" s="95"/>
      <c r="V101" s="95"/>
      <c r="W101" s="95"/>
      <c r="X101" s="95"/>
      <c r="Y101" s="95"/>
      <c r="Z101" s="95"/>
      <c r="AA101" s="95"/>
      <c r="AB101" s="95"/>
      <c r="AC101" s="95"/>
      <c r="AE101" s="96"/>
    </row>
    <row r="102" spans="19:31" ht="12" customHeight="1" x14ac:dyDescent="0.2">
      <c r="S102" s="107"/>
      <c r="T102" s="107"/>
      <c r="U102" s="95"/>
      <c r="V102" s="95"/>
      <c r="W102" s="95"/>
      <c r="X102" s="95"/>
      <c r="Y102" s="95"/>
      <c r="Z102" s="95"/>
      <c r="AA102" s="95"/>
      <c r="AB102" s="95"/>
      <c r="AC102" s="95"/>
      <c r="AE102" s="96"/>
    </row>
    <row r="103" spans="19:31" ht="12" customHeight="1" x14ac:dyDescent="0.2">
      <c r="S103" s="107"/>
      <c r="T103" s="107"/>
      <c r="U103" s="95"/>
      <c r="V103" s="95"/>
      <c r="W103" s="95"/>
      <c r="X103" s="95"/>
      <c r="Y103" s="95"/>
      <c r="Z103" s="95"/>
      <c r="AA103" s="95"/>
      <c r="AB103" s="95"/>
      <c r="AC103" s="95"/>
      <c r="AE103" s="96"/>
    </row>
    <row r="104" spans="19:31" ht="12" customHeight="1" x14ac:dyDescent="0.2">
      <c r="S104" s="107"/>
      <c r="T104" s="107"/>
      <c r="U104" s="95"/>
      <c r="V104" s="95"/>
      <c r="W104" s="95"/>
      <c r="X104" s="95"/>
      <c r="Y104" s="95"/>
      <c r="Z104" s="95"/>
      <c r="AA104" s="95"/>
      <c r="AB104" s="95"/>
      <c r="AC104" s="95"/>
      <c r="AE104" s="96"/>
    </row>
    <row r="105" spans="19:31" ht="12" customHeight="1" x14ac:dyDescent="0.2">
      <c r="S105" s="107"/>
      <c r="T105" s="107"/>
      <c r="U105" s="95"/>
      <c r="V105" s="95"/>
      <c r="W105" s="95"/>
      <c r="X105" s="95"/>
      <c r="Y105" s="95"/>
      <c r="Z105" s="95"/>
      <c r="AA105" s="95"/>
      <c r="AB105" s="95"/>
      <c r="AC105" s="95"/>
      <c r="AE105" s="96"/>
    </row>
    <row r="106" spans="19:31" ht="12" customHeight="1" x14ac:dyDescent="0.2">
      <c r="S106" s="107"/>
      <c r="T106" s="107"/>
      <c r="U106" s="95"/>
      <c r="V106" s="95"/>
      <c r="W106" s="95"/>
      <c r="X106" s="95"/>
      <c r="Y106" s="95"/>
      <c r="Z106" s="95"/>
      <c r="AA106" s="95"/>
      <c r="AB106" s="95"/>
      <c r="AC106" s="95"/>
      <c r="AE106" s="96"/>
    </row>
    <row r="107" spans="19:31" ht="12" customHeight="1" x14ac:dyDescent="0.2">
      <c r="S107" s="107"/>
      <c r="T107" s="107"/>
      <c r="U107" s="95"/>
      <c r="V107" s="95"/>
      <c r="W107" s="95"/>
      <c r="X107" s="95"/>
      <c r="Y107" s="95"/>
      <c r="Z107" s="95"/>
      <c r="AA107" s="95"/>
      <c r="AB107" s="95"/>
      <c r="AC107" s="95"/>
      <c r="AE107" s="96"/>
    </row>
    <row r="108" spans="19:31" ht="12" customHeight="1" x14ac:dyDescent="0.2">
      <c r="S108" s="107"/>
      <c r="T108" s="107"/>
      <c r="U108" s="95"/>
      <c r="V108" s="95"/>
      <c r="W108" s="95"/>
      <c r="X108" s="95"/>
      <c r="Y108" s="95"/>
      <c r="Z108" s="95"/>
      <c r="AA108" s="95"/>
      <c r="AB108" s="95"/>
      <c r="AC108" s="95"/>
      <c r="AE108" s="96"/>
    </row>
    <row r="109" spans="19:31" ht="12" customHeight="1" x14ac:dyDescent="0.2">
      <c r="S109" s="107"/>
      <c r="T109" s="107"/>
      <c r="U109" s="95"/>
      <c r="V109" s="95"/>
      <c r="W109" s="95"/>
      <c r="X109" s="95"/>
      <c r="Y109" s="95"/>
      <c r="Z109" s="95"/>
      <c r="AA109" s="95"/>
      <c r="AB109" s="95"/>
      <c r="AC109" s="95"/>
      <c r="AE109" s="96"/>
    </row>
    <row r="110" spans="19:31" ht="12" customHeight="1" x14ac:dyDescent="0.2">
      <c r="S110" s="107"/>
      <c r="T110" s="107"/>
      <c r="U110" s="95"/>
      <c r="V110" s="95"/>
      <c r="W110" s="95"/>
      <c r="X110" s="95"/>
      <c r="Y110" s="95"/>
      <c r="Z110" s="95"/>
      <c r="AA110" s="95"/>
      <c r="AB110" s="95"/>
      <c r="AC110" s="95"/>
      <c r="AE110" s="96"/>
    </row>
    <row r="111" spans="19:31" ht="12" customHeight="1" x14ac:dyDescent="0.2">
      <c r="S111" s="107"/>
      <c r="T111" s="107"/>
      <c r="U111" s="95"/>
      <c r="V111" s="95"/>
      <c r="W111" s="95"/>
      <c r="X111" s="95"/>
      <c r="Y111" s="95"/>
      <c r="Z111" s="95"/>
      <c r="AA111" s="95"/>
      <c r="AB111" s="95"/>
      <c r="AC111" s="95"/>
      <c r="AE111" s="96"/>
    </row>
    <row r="112" spans="19:31" ht="12" customHeight="1" x14ac:dyDescent="0.2">
      <c r="S112" s="107"/>
      <c r="T112" s="107"/>
      <c r="U112" s="95"/>
      <c r="V112" s="95"/>
      <c r="W112" s="95"/>
      <c r="X112" s="95"/>
      <c r="Y112" s="95"/>
      <c r="Z112" s="95"/>
      <c r="AA112" s="95"/>
      <c r="AB112" s="95"/>
      <c r="AC112" s="95"/>
      <c r="AE112" s="96"/>
    </row>
    <row r="113" spans="19:31" ht="12" customHeight="1" x14ac:dyDescent="0.2">
      <c r="S113" s="107"/>
      <c r="T113" s="107"/>
      <c r="U113" s="95"/>
      <c r="V113" s="95"/>
      <c r="W113" s="95"/>
      <c r="X113" s="95"/>
      <c r="Y113" s="95"/>
      <c r="Z113" s="95"/>
      <c r="AA113" s="95"/>
      <c r="AB113" s="95"/>
      <c r="AC113" s="95"/>
      <c r="AE113" s="96"/>
    </row>
    <row r="114" spans="19:31" ht="12" customHeight="1" x14ac:dyDescent="0.2">
      <c r="S114" s="107"/>
      <c r="T114" s="107"/>
      <c r="U114" s="95"/>
      <c r="V114" s="95"/>
      <c r="W114" s="95"/>
      <c r="X114" s="95"/>
      <c r="Y114" s="95"/>
      <c r="Z114" s="95"/>
      <c r="AA114" s="95"/>
      <c r="AB114" s="95"/>
      <c r="AC114" s="95"/>
      <c r="AE114" s="96"/>
    </row>
    <row r="115" spans="19:31" ht="12" customHeight="1" x14ac:dyDescent="0.2">
      <c r="S115" s="107"/>
      <c r="T115" s="107"/>
      <c r="U115" s="95"/>
      <c r="V115" s="95"/>
      <c r="W115" s="95"/>
      <c r="X115" s="95"/>
      <c r="Y115" s="95"/>
      <c r="Z115" s="95"/>
      <c r="AA115" s="95"/>
      <c r="AB115" s="95"/>
      <c r="AC115" s="95"/>
      <c r="AE115" s="96"/>
    </row>
    <row r="116" spans="19:31" ht="12" customHeight="1" x14ac:dyDescent="0.2">
      <c r="S116" s="107"/>
      <c r="T116" s="107"/>
      <c r="U116" s="95"/>
      <c r="V116" s="95"/>
      <c r="W116" s="95"/>
      <c r="X116" s="95"/>
      <c r="Y116" s="95"/>
      <c r="Z116" s="95"/>
      <c r="AA116" s="95"/>
      <c r="AB116" s="95"/>
      <c r="AC116" s="95"/>
      <c r="AE116" s="96"/>
    </row>
    <row r="117" spans="19:31" ht="12" customHeight="1" x14ac:dyDescent="0.2">
      <c r="S117" s="107"/>
      <c r="T117" s="107"/>
      <c r="U117" s="95"/>
      <c r="V117" s="95"/>
      <c r="W117" s="95"/>
      <c r="X117" s="95"/>
      <c r="Y117" s="95"/>
      <c r="Z117" s="95"/>
      <c r="AA117" s="95"/>
      <c r="AB117" s="95"/>
      <c r="AC117" s="95"/>
      <c r="AE117" s="96"/>
    </row>
    <row r="118" spans="19:31" ht="12" customHeight="1" x14ac:dyDescent="0.2">
      <c r="S118" s="107"/>
      <c r="T118" s="107"/>
      <c r="U118" s="95"/>
      <c r="V118" s="95"/>
      <c r="W118" s="95"/>
      <c r="X118" s="95"/>
      <c r="Y118" s="95"/>
      <c r="Z118" s="95"/>
      <c r="AA118" s="95"/>
      <c r="AB118" s="95"/>
      <c r="AC118" s="95"/>
      <c r="AE118" s="96"/>
    </row>
    <row r="119" spans="19:31" ht="12" customHeight="1" x14ac:dyDescent="0.2">
      <c r="S119" s="107"/>
      <c r="T119" s="107"/>
      <c r="U119" s="95"/>
      <c r="V119" s="95"/>
      <c r="W119" s="95"/>
      <c r="X119" s="95"/>
      <c r="Y119" s="95"/>
      <c r="Z119" s="95"/>
      <c r="AA119" s="95"/>
      <c r="AB119" s="95"/>
      <c r="AC119" s="95"/>
      <c r="AE119" s="96"/>
    </row>
    <row r="120" spans="19:31" ht="12" customHeight="1" x14ac:dyDescent="0.2">
      <c r="S120" s="107"/>
      <c r="T120" s="107"/>
      <c r="U120" s="95"/>
      <c r="V120" s="95"/>
      <c r="W120" s="95"/>
      <c r="X120" s="95"/>
      <c r="Y120" s="95"/>
      <c r="Z120" s="95"/>
      <c r="AA120" s="95"/>
      <c r="AB120" s="95"/>
      <c r="AC120" s="95"/>
      <c r="AE120" s="96"/>
    </row>
    <row r="121" spans="19:31" ht="12" customHeight="1" x14ac:dyDescent="0.2">
      <c r="S121" s="107"/>
      <c r="T121" s="107"/>
      <c r="U121" s="95"/>
      <c r="V121" s="95"/>
      <c r="W121" s="95"/>
      <c r="X121" s="95"/>
      <c r="Y121" s="95"/>
      <c r="Z121" s="95"/>
      <c r="AA121" s="95"/>
      <c r="AB121" s="95"/>
      <c r="AC121" s="95"/>
      <c r="AE121" s="96"/>
    </row>
    <row r="122" spans="19:31" ht="12" customHeight="1" x14ac:dyDescent="0.2">
      <c r="S122" s="107"/>
      <c r="T122" s="107"/>
      <c r="U122" s="95"/>
      <c r="V122" s="95"/>
      <c r="W122" s="95"/>
      <c r="X122" s="95"/>
      <c r="Y122" s="95"/>
      <c r="Z122" s="95"/>
      <c r="AA122" s="95"/>
      <c r="AB122" s="95"/>
      <c r="AC122" s="95"/>
      <c r="AE122" s="96"/>
    </row>
    <row r="123" spans="19:31" ht="12" customHeight="1" x14ac:dyDescent="0.2">
      <c r="S123" s="107"/>
      <c r="T123" s="107"/>
      <c r="U123" s="95"/>
      <c r="V123" s="95"/>
      <c r="W123" s="95"/>
      <c r="X123" s="95"/>
      <c r="Y123" s="95"/>
      <c r="Z123" s="95"/>
      <c r="AA123" s="95"/>
      <c r="AB123" s="95"/>
      <c r="AC123" s="95"/>
      <c r="AE123" s="96"/>
    </row>
    <row r="124" spans="19:31" ht="12" customHeight="1" x14ac:dyDescent="0.2">
      <c r="S124" s="107"/>
      <c r="T124" s="107"/>
      <c r="U124" s="95"/>
      <c r="V124" s="95"/>
      <c r="W124" s="95"/>
      <c r="X124" s="95"/>
      <c r="Y124" s="95"/>
      <c r="Z124" s="95"/>
      <c r="AA124" s="95"/>
      <c r="AB124" s="95"/>
      <c r="AC124" s="95"/>
      <c r="AE124" s="96"/>
    </row>
    <row r="125" spans="19:31" ht="12" customHeight="1" x14ac:dyDescent="0.2">
      <c r="S125" s="107"/>
      <c r="T125" s="107"/>
      <c r="U125" s="95"/>
      <c r="V125" s="95"/>
      <c r="W125" s="95"/>
      <c r="X125" s="95"/>
      <c r="Y125" s="95"/>
      <c r="Z125" s="95"/>
      <c r="AA125" s="95"/>
      <c r="AB125" s="95"/>
      <c r="AC125" s="95"/>
      <c r="AE125" s="96"/>
    </row>
    <row r="126" spans="19:31" ht="12" customHeight="1" x14ac:dyDescent="0.2">
      <c r="S126" s="107"/>
      <c r="T126" s="107"/>
      <c r="U126" s="95"/>
      <c r="V126" s="95"/>
      <c r="W126" s="95"/>
      <c r="X126" s="95"/>
      <c r="Y126" s="95"/>
      <c r="Z126" s="95"/>
      <c r="AA126" s="95"/>
      <c r="AB126" s="95"/>
      <c r="AC126" s="95"/>
      <c r="AE126" s="96"/>
    </row>
    <row r="127" spans="19:31" ht="12" customHeight="1" x14ac:dyDescent="0.2">
      <c r="S127" s="107"/>
      <c r="T127" s="107"/>
      <c r="U127" s="95"/>
      <c r="V127" s="95"/>
      <c r="W127" s="95"/>
      <c r="X127" s="95"/>
      <c r="Y127" s="95"/>
      <c r="Z127" s="95"/>
      <c r="AA127" s="95"/>
      <c r="AB127" s="95"/>
      <c r="AC127" s="95"/>
      <c r="AE127" s="96"/>
    </row>
    <row r="128" spans="19:31" ht="12" customHeight="1" x14ac:dyDescent="0.2">
      <c r="S128" s="107"/>
      <c r="T128" s="107"/>
      <c r="U128" s="95"/>
      <c r="V128" s="95"/>
      <c r="W128" s="95"/>
      <c r="X128" s="95"/>
      <c r="Y128" s="95"/>
      <c r="Z128" s="95"/>
      <c r="AA128" s="95"/>
      <c r="AB128" s="95"/>
      <c r="AC128" s="95"/>
      <c r="AE128" s="96"/>
    </row>
    <row r="129" spans="19:31" ht="12" customHeight="1" x14ac:dyDescent="0.2">
      <c r="S129" s="107"/>
      <c r="T129" s="107"/>
      <c r="U129" s="95"/>
      <c r="V129" s="95"/>
      <c r="W129" s="95"/>
      <c r="X129" s="95"/>
      <c r="Y129" s="95"/>
      <c r="Z129" s="95"/>
      <c r="AA129" s="95"/>
      <c r="AB129" s="95"/>
      <c r="AC129" s="95"/>
      <c r="AE129" s="96"/>
    </row>
    <row r="130" spans="19:31" ht="12" customHeight="1" x14ac:dyDescent="0.2">
      <c r="S130" s="107"/>
      <c r="T130" s="107"/>
      <c r="U130" s="95"/>
      <c r="V130" s="95"/>
      <c r="W130" s="95"/>
      <c r="X130" s="95"/>
      <c r="Y130" s="95"/>
      <c r="Z130" s="95"/>
      <c r="AA130" s="95"/>
      <c r="AB130" s="95"/>
      <c r="AC130" s="95"/>
      <c r="AE130" s="96"/>
    </row>
    <row r="131" spans="19:31" ht="12" customHeight="1" x14ac:dyDescent="0.2">
      <c r="S131" s="107"/>
      <c r="T131" s="107"/>
      <c r="U131" s="95"/>
      <c r="V131" s="95"/>
      <c r="W131" s="95"/>
      <c r="X131" s="95"/>
      <c r="Y131" s="95"/>
      <c r="Z131" s="95"/>
      <c r="AA131" s="95"/>
      <c r="AB131" s="95"/>
      <c r="AC131" s="95"/>
      <c r="AE131" s="96"/>
    </row>
    <row r="132" spans="19:31" ht="12" customHeight="1" x14ac:dyDescent="0.2">
      <c r="S132" s="107"/>
      <c r="T132" s="107"/>
      <c r="U132" s="95"/>
      <c r="V132" s="95"/>
      <c r="W132" s="95"/>
      <c r="X132" s="95"/>
      <c r="Y132" s="95"/>
      <c r="Z132" s="95"/>
      <c r="AA132" s="95"/>
      <c r="AB132" s="95"/>
      <c r="AC132" s="95"/>
      <c r="AE132" s="96"/>
    </row>
    <row r="133" spans="19:31" ht="12" customHeight="1" x14ac:dyDescent="0.2">
      <c r="S133" s="107"/>
      <c r="T133" s="107"/>
      <c r="U133" s="95"/>
      <c r="V133" s="95"/>
      <c r="W133" s="95"/>
      <c r="X133" s="95"/>
      <c r="Y133" s="95"/>
      <c r="Z133" s="95"/>
      <c r="AA133" s="95"/>
      <c r="AB133" s="95"/>
      <c r="AC133" s="95"/>
      <c r="AE133" s="96"/>
    </row>
    <row r="134" spans="19:31" ht="12" customHeight="1" x14ac:dyDescent="0.2">
      <c r="S134" s="107"/>
      <c r="T134" s="107"/>
      <c r="U134" s="95"/>
      <c r="V134" s="95"/>
      <c r="W134" s="95"/>
      <c r="X134" s="95"/>
      <c r="Y134" s="95"/>
      <c r="Z134" s="95"/>
      <c r="AA134" s="95"/>
      <c r="AB134" s="95"/>
      <c r="AC134" s="95"/>
      <c r="AE134" s="96"/>
    </row>
    <row r="135" spans="19:31" ht="12" customHeight="1" x14ac:dyDescent="0.2">
      <c r="S135" s="107"/>
      <c r="T135" s="107"/>
      <c r="U135" s="95"/>
      <c r="V135" s="95"/>
      <c r="W135" s="95"/>
      <c r="X135" s="95"/>
      <c r="Y135" s="95"/>
      <c r="Z135" s="95"/>
      <c r="AA135" s="95"/>
      <c r="AB135" s="95"/>
      <c r="AC135" s="95"/>
      <c r="AE135" s="96"/>
    </row>
    <row r="136" spans="19:31" ht="12" customHeight="1" x14ac:dyDescent="0.2">
      <c r="S136" s="107"/>
      <c r="T136" s="107"/>
      <c r="U136" s="95"/>
      <c r="V136" s="95"/>
      <c r="W136" s="95"/>
      <c r="X136" s="95"/>
      <c r="Y136" s="95"/>
      <c r="Z136" s="95"/>
      <c r="AA136" s="95"/>
      <c r="AB136" s="95"/>
      <c r="AC136" s="95"/>
      <c r="AE136" s="96"/>
    </row>
    <row r="137" spans="19:31" ht="12" customHeight="1" x14ac:dyDescent="0.2">
      <c r="S137" s="107"/>
      <c r="T137" s="107"/>
      <c r="U137" s="95"/>
      <c r="V137" s="95"/>
      <c r="W137" s="95"/>
      <c r="X137" s="95"/>
      <c r="Y137" s="95"/>
      <c r="Z137" s="95"/>
      <c r="AA137" s="95"/>
      <c r="AB137" s="95"/>
      <c r="AC137" s="95"/>
      <c r="AE137" s="96"/>
    </row>
    <row r="138" spans="19:31" ht="12" customHeight="1" x14ac:dyDescent="0.2">
      <c r="S138" s="107"/>
      <c r="T138" s="107"/>
      <c r="U138" s="95"/>
      <c r="V138" s="95"/>
      <c r="W138" s="95"/>
      <c r="X138" s="95"/>
      <c r="Y138" s="95"/>
      <c r="Z138" s="95"/>
      <c r="AA138" s="95"/>
      <c r="AB138" s="95"/>
      <c r="AC138" s="95"/>
      <c r="AE138" s="96"/>
    </row>
    <row r="139" spans="19:31" ht="12" customHeight="1" x14ac:dyDescent="0.2">
      <c r="S139" s="107"/>
      <c r="T139" s="107"/>
      <c r="U139" s="95"/>
      <c r="V139" s="95"/>
      <c r="W139" s="95"/>
      <c r="X139" s="95"/>
      <c r="Y139" s="95"/>
      <c r="Z139" s="95"/>
      <c r="AA139" s="95"/>
      <c r="AB139" s="95"/>
      <c r="AC139" s="95"/>
      <c r="AE139" s="96"/>
    </row>
    <row r="140" spans="19:31" ht="12" customHeight="1" x14ac:dyDescent="0.2">
      <c r="S140" s="107"/>
      <c r="T140" s="107"/>
      <c r="U140" s="95"/>
      <c r="V140" s="95"/>
      <c r="W140" s="95"/>
      <c r="X140" s="95"/>
      <c r="Y140" s="95"/>
      <c r="Z140" s="95"/>
      <c r="AA140" s="95"/>
      <c r="AB140" s="95"/>
      <c r="AC140" s="95"/>
      <c r="AE140" s="96"/>
    </row>
    <row r="141" spans="19:31" ht="12" customHeight="1" x14ac:dyDescent="0.2">
      <c r="S141" s="107"/>
      <c r="T141" s="107"/>
      <c r="U141" s="95"/>
      <c r="V141" s="95"/>
      <c r="W141" s="95"/>
      <c r="X141" s="95"/>
      <c r="Y141" s="95"/>
      <c r="Z141" s="95"/>
      <c r="AA141" s="95"/>
      <c r="AB141" s="95"/>
      <c r="AC141" s="95"/>
      <c r="AE141" s="96"/>
    </row>
    <row r="142" spans="19:31" ht="12" customHeight="1" x14ac:dyDescent="0.2">
      <c r="S142" s="107"/>
      <c r="T142" s="107"/>
      <c r="U142" s="95"/>
      <c r="V142" s="95"/>
      <c r="W142" s="95"/>
      <c r="X142" s="95"/>
      <c r="Y142" s="95"/>
      <c r="Z142" s="95"/>
      <c r="AA142" s="95"/>
      <c r="AB142" s="95"/>
      <c r="AC142" s="95"/>
      <c r="AE142" s="96"/>
    </row>
    <row r="143" spans="19:31" ht="12" customHeight="1" x14ac:dyDescent="0.2">
      <c r="S143" s="107"/>
      <c r="T143" s="107"/>
      <c r="U143" s="95"/>
      <c r="V143" s="95"/>
      <c r="W143" s="95"/>
      <c r="X143" s="95"/>
      <c r="Y143" s="95"/>
      <c r="Z143" s="95"/>
      <c r="AA143" s="95"/>
      <c r="AB143" s="95"/>
      <c r="AC143" s="95"/>
      <c r="AE143" s="96"/>
    </row>
    <row r="144" spans="19:31" ht="12" customHeight="1" x14ac:dyDescent="0.2">
      <c r="S144" s="107"/>
      <c r="T144" s="107"/>
      <c r="U144" s="95"/>
      <c r="V144" s="95"/>
      <c r="W144" s="95"/>
      <c r="X144" s="95"/>
      <c r="Y144" s="95"/>
      <c r="Z144" s="95"/>
      <c r="AA144" s="95"/>
      <c r="AB144" s="95"/>
      <c r="AC144" s="95"/>
      <c r="AE144" s="96"/>
    </row>
    <row r="145" spans="19:31" ht="12" customHeight="1" x14ac:dyDescent="0.2">
      <c r="S145" s="107"/>
      <c r="T145" s="107"/>
      <c r="U145" s="95"/>
      <c r="V145" s="95"/>
      <c r="W145" s="95"/>
      <c r="X145" s="95"/>
      <c r="Y145" s="95"/>
      <c r="Z145" s="95"/>
      <c r="AA145" s="95"/>
      <c r="AB145" s="95"/>
      <c r="AC145" s="95"/>
      <c r="AE145" s="96"/>
    </row>
    <row r="146" spans="19:31" ht="12" customHeight="1" x14ac:dyDescent="0.2">
      <c r="S146" s="107"/>
      <c r="T146" s="107"/>
      <c r="U146" s="95"/>
      <c r="V146" s="95"/>
      <c r="W146" s="95"/>
      <c r="X146" s="95"/>
      <c r="Y146" s="95"/>
      <c r="Z146" s="95"/>
      <c r="AA146" s="95"/>
      <c r="AB146" s="95"/>
      <c r="AC146" s="95"/>
      <c r="AE146" s="96"/>
    </row>
    <row r="147" spans="19:31" ht="12" customHeight="1" x14ac:dyDescent="0.2">
      <c r="S147" s="107"/>
      <c r="T147" s="107"/>
      <c r="U147" s="95"/>
      <c r="V147" s="95"/>
      <c r="W147" s="95"/>
      <c r="X147" s="95"/>
      <c r="Y147" s="95"/>
      <c r="Z147" s="95"/>
      <c r="AA147" s="95"/>
      <c r="AB147" s="95"/>
      <c r="AC147" s="95"/>
      <c r="AE147" s="96"/>
    </row>
    <row r="148" spans="19:31" ht="12" customHeight="1" x14ac:dyDescent="0.2">
      <c r="S148" s="107"/>
      <c r="T148" s="107"/>
      <c r="U148" s="95"/>
      <c r="V148" s="95"/>
      <c r="W148" s="95"/>
      <c r="X148" s="95"/>
      <c r="Y148" s="95"/>
      <c r="Z148" s="95"/>
      <c r="AA148" s="95"/>
      <c r="AB148" s="95"/>
      <c r="AC148" s="95"/>
      <c r="AE148" s="96"/>
    </row>
    <row r="149" spans="19:31" ht="12" customHeight="1" x14ac:dyDescent="0.2">
      <c r="S149" s="107"/>
      <c r="T149" s="107"/>
      <c r="U149" s="95"/>
      <c r="V149" s="95"/>
      <c r="W149" s="95"/>
      <c r="X149" s="95"/>
      <c r="Y149" s="95"/>
      <c r="Z149" s="95"/>
      <c r="AA149" s="95"/>
      <c r="AB149" s="95"/>
      <c r="AC149" s="95"/>
      <c r="AE149" s="96"/>
    </row>
    <row r="150" spans="19:31" ht="12" customHeight="1" x14ac:dyDescent="0.2">
      <c r="S150" s="107"/>
      <c r="T150" s="107"/>
      <c r="U150" s="95"/>
      <c r="V150" s="95"/>
      <c r="W150" s="95"/>
      <c r="X150" s="95"/>
      <c r="Y150" s="95"/>
      <c r="Z150" s="95"/>
      <c r="AA150" s="95"/>
      <c r="AB150" s="95"/>
      <c r="AC150" s="95"/>
      <c r="AE150" s="96"/>
    </row>
    <row r="151" spans="19:31" ht="12" customHeight="1" x14ac:dyDescent="0.2">
      <c r="S151" s="107"/>
      <c r="T151" s="107"/>
      <c r="U151" s="95"/>
      <c r="V151" s="95"/>
      <c r="W151" s="95"/>
      <c r="X151" s="95"/>
      <c r="Y151" s="95"/>
      <c r="Z151" s="95"/>
      <c r="AA151" s="95"/>
      <c r="AB151" s="95"/>
      <c r="AC151" s="95"/>
      <c r="AE151" s="96"/>
    </row>
    <row r="152" spans="19:31" ht="12" customHeight="1" x14ac:dyDescent="0.2">
      <c r="S152" s="107"/>
      <c r="T152" s="107"/>
      <c r="U152" s="95"/>
      <c r="V152" s="95"/>
      <c r="W152" s="95"/>
      <c r="X152" s="95"/>
      <c r="Y152" s="95"/>
      <c r="Z152" s="95"/>
      <c r="AA152" s="95"/>
      <c r="AB152" s="95"/>
      <c r="AC152" s="95"/>
      <c r="AE152" s="96"/>
    </row>
    <row r="153" spans="19:31" ht="12" customHeight="1" x14ac:dyDescent="0.2">
      <c r="S153" s="107"/>
      <c r="T153" s="107"/>
      <c r="U153" s="95"/>
      <c r="V153" s="95"/>
      <c r="W153" s="95"/>
      <c r="X153" s="95"/>
      <c r="Y153" s="95"/>
      <c r="Z153" s="95"/>
      <c r="AA153" s="95"/>
      <c r="AB153" s="95"/>
      <c r="AC153" s="95"/>
      <c r="AE153" s="96"/>
    </row>
    <row r="154" spans="19:31" ht="12" customHeight="1" x14ac:dyDescent="0.2">
      <c r="S154" s="111"/>
      <c r="T154" s="107"/>
      <c r="U154" s="95"/>
      <c r="V154" s="95"/>
      <c r="W154" s="95"/>
      <c r="X154" s="95"/>
      <c r="Y154" s="95"/>
      <c r="Z154" s="95"/>
      <c r="AA154" s="95"/>
      <c r="AB154" s="95"/>
      <c r="AC154" s="95"/>
      <c r="AE154" s="96"/>
    </row>
    <row r="155" spans="19:31" ht="12" customHeight="1" x14ac:dyDescent="0.2">
      <c r="S155" s="111"/>
      <c r="T155" s="107"/>
      <c r="U155" s="95"/>
      <c r="V155" s="95"/>
      <c r="W155" s="95"/>
      <c r="X155" s="95"/>
      <c r="Y155" s="95"/>
      <c r="Z155" s="95"/>
      <c r="AA155" s="95"/>
      <c r="AB155" s="95"/>
      <c r="AC155" s="95"/>
      <c r="AE155" s="96"/>
    </row>
    <row r="156" spans="19:31" ht="12" customHeight="1" x14ac:dyDescent="0.2">
      <c r="S156" s="107"/>
      <c r="T156" s="107"/>
      <c r="U156" s="95"/>
      <c r="V156" s="95"/>
      <c r="W156" s="95"/>
      <c r="X156" s="95"/>
      <c r="Y156" s="95"/>
      <c r="Z156" s="95"/>
      <c r="AA156" s="95"/>
      <c r="AB156" s="95"/>
      <c r="AC156" s="95"/>
      <c r="AE156" s="96"/>
    </row>
    <row r="157" spans="19:31" ht="12" customHeight="1" x14ac:dyDescent="0.2">
      <c r="S157" s="107"/>
      <c r="T157" s="107"/>
      <c r="U157" s="95"/>
      <c r="V157" s="95"/>
      <c r="W157" s="95"/>
      <c r="X157" s="95"/>
      <c r="Y157" s="95"/>
      <c r="Z157" s="95"/>
      <c r="AA157" s="95"/>
      <c r="AB157" s="95"/>
      <c r="AC157" s="95"/>
      <c r="AE157" s="96"/>
    </row>
    <row r="158" spans="19:31" ht="12" customHeight="1" x14ac:dyDescent="0.2">
      <c r="S158" s="107"/>
      <c r="T158" s="107"/>
      <c r="U158" s="95"/>
      <c r="V158" s="95"/>
      <c r="W158" s="95"/>
      <c r="X158" s="95"/>
      <c r="Y158" s="95"/>
      <c r="Z158" s="95"/>
      <c r="AA158" s="95"/>
      <c r="AB158" s="95"/>
      <c r="AC158" s="95"/>
      <c r="AE158" s="96"/>
    </row>
    <row r="159" spans="19:31" ht="12" customHeight="1" x14ac:dyDescent="0.2">
      <c r="S159" s="107"/>
      <c r="T159" s="107"/>
      <c r="U159" s="95"/>
      <c r="V159" s="95"/>
      <c r="W159" s="95"/>
      <c r="X159" s="95"/>
      <c r="Y159" s="95"/>
      <c r="Z159" s="95"/>
      <c r="AA159" s="95"/>
      <c r="AB159" s="95"/>
      <c r="AC159" s="95"/>
      <c r="AE159" s="96"/>
    </row>
    <row r="160" spans="19:31" ht="12" customHeight="1" x14ac:dyDescent="0.2">
      <c r="S160" s="107"/>
      <c r="T160" s="107"/>
      <c r="U160" s="95"/>
      <c r="V160" s="95"/>
      <c r="W160" s="95"/>
      <c r="X160" s="95"/>
      <c r="Y160" s="95"/>
      <c r="Z160" s="95"/>
      <c r="AA160" s="95"/>
      <c r="AB160" s="95"/>
      <c r="AC160" s="95"/>
      <c r="AE160" s="96"/>
    </row>
    <row r="161" spans="19:31" ht="12" customHeight="1" x14ac:dyDescent="0.2">
      <c r="S161" s="107"/>
      <c r="T161" s="107"/>
      <c r="U161" s="95"/>
      <c r="V161" s="95"/>
      <c r="W161" s="95"/>
      <c r="X161" s="95"/>
      <c r="Y161" s="95"/>
      <c r="Z161" s="95"/>
      <c r="AA161" s="95"/>
      <c r="AB161" s="95"/>
      <c r="AC161" s="95"/>
      <c r="AE161" s="96"/>
    </row>
    <row r="162" spans="19:31" ht="12" customHeight="1" x14ac:dyDescent="0.2">
      <c r="S162" s="107"/>
      <c r="T162" s="107"/>
      <c r="U162" s="95"/>
      <c r="V162" s="95"/>
      <c r="W162" s="95"/>
      <c r="X162" s="95"/>
      <c r="Y162" s="95"/>
      <c r="Z162" s="95"/>
      <c r="AA162" s="95"/>
      <c r="AB162" s="95"/>
      <c r="AC162" s="95"/>
      <c r="AE162" s="96"/>
    </row>
    <row r="163" spans="19:31" ht="12" customHeight="1" x14ac:dyDescent="0.2">
      <c r="S163" s="107"/>
      <c r="T163" s="107"/>
      <c r="U163" s="95"/>
      <c r="V163" s="95"/>
      <c r="W163" s="95"/>
      <c r="X163" s="95"/>
      <c r="Y163" s="95"/>
      <c r="Z163" s="95"/>
      <c r="AA163" s="95"/>
      <c r="AB163" s="95"/>
      <c r="AC163" s="95"/>
      <c r="AE163" s="96"/>
    </row>
    <row r="164" spans="19:31" ht="12" customHeight="1" x14ac:dyDescent="0.2">
      <c r="S164" s="107"/>
      <c r="T164" s="107"/>
      <c r="U164" s="95"/>
      <c r="V164" s="95"/>
      <c r="W164" s="95"/>
      <c r="X164" s="95"/>
      <c r="Y164" s="95"/>
      <c r="Z164" s="95"/>
      <c r="AA164" s="95"/>
      <c r="AB164" s="95"/>
      <c r="AC164" s="95"/>
      <c r="AE164" s="96"/>
    </row>
    <row r="165" spans="19:31" ht="12" customHeight="1" x14ac:dyDescent="0.2">
      <c r="S165" s="107"/>
      <c r="T165" s="107"/>
      <c r="U165" s="95"/>
      <c r="V165" s="95"/>
      <c r="W165" s="95"/>
      <c r="X165" s="95"/>
      <c r="Y165" s="95"/>
      <c r="Z165" s="95"/>
      <c r="AA165" s="95"/>
      <c r="AB165" s="95"/>
      <c r="AC165" s="95"/>
      <c r="AE165" s="96"/>
    </row>
    <row r="166" spans="19:31" ht="12" customHeight="1" x14ac:dyDescent="0.2">
      <c r="U166" s="95"/>
      <c r="V166" s="95"/>
      <c r="W166" s="95"/>
      <c r="X166" s="95"/>
      <c r="Y166" s="95"/>
      <c r="Z166" s="95"/>
      <c r="AA166" s="95"/>
      <c r="AB166" s="95"/>
      <c r="AC166" s="95"/>
      <c r="AE166" s="96"/>
    </row>
    <row r="167" spans="19:31" ht="12" customHeight="1" x14ac:dyDescent="0.2">
      <c r="S167" s="107"/>
      <c r="T167" s="107"/>
      <c r="U167" s="95"/>
      <c r="V167" s="95"/>
      <c r="W167" s="95"/>
      <c r="X167" s="95"/>
      <c r="Y167" s="95"/>
      <c r="Z167" s="95"/>
      <c r="AA167" s="95"/>
      <c r="AB167" s="95"/>
      <c r="AC167" s="95"/>
      <c r="AE167" s="96"/>
    </row>
    <row r="168" spans="19:31" ht="12" customHeight="1" x14ac:dyDescent="0.2">
      <c r="S168" s="107"/>
      <c r="T168" s="107"/>
      <c r="U168" s="95"/>
      <c r="V168" s="95"/>
      <c r="W168" s="95"/>
      <c r="X168" s="95"/>
      <c r="Y168" s="95"/>
      <c r="Z168" s="95"/>
      <c r="AA168" s="95"/>
      <c r="AB168" s="95"/>
      <c r="AC168" s="95"/>
      <c r="AE168" s="96"/>
    </row>
    <row r="169" spans="19:31" ht="12" customHeight="1" x14ac:dyDescent="0.2">
      <c r="S169" s="107"/>
      <c r="T169" s="107"/>
      <c r="U169" s="95"/>
      <c r="V169" s="95"/>
      <c r="W169" s="95"/>
      <c r="X169" s="95"/>
      <c r="Y169" s="95"/>
      <c r="Z169" s="95"/>
      <c r="AA169" s="95"/>
      <c r="AB169" s="95"/>
      <c r="AC169" s="95"/>
      <c r="AE169" s="96"/>
    </row>
    <row r="170" spans="19:31" ht="12" customHeight="1" x14ac:dyDescent="0.2">
      <c r="S170" s="107"/>
      <c r="T170" s="107"/>
      <c r="U170" s="95"/>
      <c r="V170" s="95"/>
      <c r="W170" s="95"/>
      <c r="X170" s="95"/>
      <c r="Y170" s="95"/>
      <c r="Z170" s="95"/>
      <c r="AA170" s="95"/>
      <c r="AB170" s="95"/>
      <c r="AC170" s="95"/>
      <c r="AE170" s="96"/>
    </row>
    <row r="171" spans="19:31" ht="12" customHeight="1" x14ac:dyDescent="0.2">
      <c r="S171" s="107"/>
      <c r="T171" s="107"/>
      <c r="U171" s="95"/>
      <c r="V171" s="95"/>
      <c r="W171" s="95"/>
      <c r="X171" s="95"/>
      <c r="Y171" s="95"/>
      <c r="Z171" s="95"/>
      <c r="AA171" s="95"/>
      <c r="AB171" s="95"/>
      <c r="AC171" s="95"/>
      <c r="AE171" s="96"/>
    </row>
    <row r="172" spans="19:31" ht="12" customHeight="1" x14ac:dyDescent="0.2">
      <c r="S172" s="107"/>
      <c r="T172" s="107"/>
      <c r="U172" s="95"/>
      <c r="V172" s="95"/>
      <c r="W172" s="95"/>
      <c r="X172" s="95"/>
      <c r="Y172" s="95"/>
      <c r="Z172" s="95"/>
      <c r="AA172" s="95"/>
      <c r="AB172" s="95"/>
      <c r="AC172" s="95"/>
      <c r="AD172" s="108"/>
      <c r="AE172" s="96"/>
    </row>
    <row r="173" spans="19:31" ht="12" customHeight="1" x14ac:dyDescent="0.2">
      <c r="S173" s="107"/>
      <c r="T173" s="107"/>
      <c r="U173" s="95"/>
      <c r="V173" s="95"/>
      <c r="W173" s="95"/>
      <c r="X173" s="95"/>
      <c r="Y173" s="95"/>
      <c r="Z173" s="95"/>
      <c r="AA173" s="95"/>
      <c r="AB173" s="95"/>
      <c r="AC173" s="95"/>
      <c r="AD173" s="108"/>
      <c r="AE173" s="96"/>
    </row>
    <row r="174" spans="19:31" ht="12" customHeight="1" x14ac:dyDescent="0.2">
      <c r="S174" s="107"/>
      <c r="T174" s="107"/>
      <c r="U174" s="95"/>
      <c r="V174" s="95"/>
      <c r="W174" s="95"/>
      <c r="X174" s="95"/>
      <c r="Y174" s="95"/>
      <c r="Z174" s="95"/>
      <c r="AA174" s="95"/>
      <c r="AB174" s="95"/>
      <c r="AC174" s="95"/>
      <c r="AD174" s="108"/>
      <c r="AE174" s="96"/>
    </row>
    <row r="175" spans="19:31" ht="12" customHeight="1" x14ac:dyDescent="0.2">
      <c r="S175" s="107"/>
      <c r="T175" s="107"/>
      <c r="U175" s="95"/>
      <c r="V175" s="95"/>
      <c r="W175" s="95"/>
      <c r="X175" s="95"/>
      <c r="Y175" s="95"/>
      <c r="Z175" s="95"/>
      <c r="AA175" s="95"/>
      <c r="AB175" s="95"/>
      <c r="AC175" s="95"/>
      <c r="AD175" s="108"/>
      <c r="AE175" s="96"/>
    </row>
    <row r="176" spans="19:31" ht="12" customHeight="1" x14ac:dyDescent="0.2">
      <c r="S176" s="107"/>
      <c r="T176" s="107"/>
      <c r="U176" s="95"/>
      <c r="V176" s="95"/>
      <c r="W176" s="95"/>
      <c r="X176" s="95"/>
      <c r="Y176" s="95"/>
      <c r="Z176" s="95"/>
      <c r="AA176" s="95"/>
      <c r="AB176" s="95"/>
      <c r="AC176" s="95"/>
      <c r="AE176" s="96"/>
    </row>
    <row r="177" spans="19:31" ht="12" customHeight="1" x14ac:dyDescent="0.2">
      <c r="S177" s="107"/>
      <c r="T177" s="107"/>
      <c r="U177" s="95"/>
      <c r="V177" s="95"/>
      <c r="W177" s="95"/>
      <c r="X177" s="95"/>
      <c r="Y177" s="95"/>
      <c r="Z177" s="95"/>
      <c r="AA177" s="95"/>
      <c r="AB177" s="95"/>
      <c r="AC177" s="95"/>
      <c r="AD177" s="108"/>
      <c r="AE177" s="96"/>
    </row>
    <row r="178" spans="19:31" ht="12" customHeight="1" x14ac:dyDescent="0.2">
      <c r="S178" s="107"/>
      <c r="T178" s="107"/>
      <c r="U178" s="95"/>
      <c r="V178" s="95"/>
      <c r="W178" s="95"/>
      <c r="X178" s="95"/>
      <c r="Y178" s="95"/>
      <c r="Z178" s="95"/>
      <c r="AA178" s="95"/>
      <c r="AB178" s="95"/>
      <c r="AC178" s="95"/>
      <c r="AD178" s="108"/>
      <c r="AE178" s="96"/>
    </row>
    <row r="179" spans="19:31" ht="12" customHeight="1" x14ac:dyDescent="0.2">
      <c r="S179" s="107"/>
      <c r="T179" s="107"/>
      <c r="U179" s="95"/>
      <c r="V179" s="95"/>
      <c r="W179" s="95"/>
      <c r="X179" s="95"/>
      <c r="Y179" s="95"/>
      <c r="Z179" s="95"/>
      <c r="AA179" s="95"/>
      <c r="AB179" s="95"/>
      <c r="AC179" s="95"/>
      <c r="AD179" s="108"/>
      <c r="AE179" s="96"/>
    </row>
    <row r="180" spans="19:31" ht="12" customHeight="1" x14ac:dyDescent="0.2">
      <c r="S180" s="107"/>
      <c r="T180" s="107"/>
      <c r="U180" s="95"/>
      <c r="V180" s="95"/>
      <c r="W180" s="95"/>
      <c r="X180" s="95"/>
      <c r="Y180" s="95"/>
      <c r="Z180" s="95"/>
      <c r="AA180" s="95"/>
      <c r="AB180" s="95"/>
      <c r="AC180" s="95"/>
      <c r="AD180" s="108"/>
      <c r="AE180" s="96"/>
    </row>
    <row r="181" spans="19:31" ht="12" customHeight="1" x14ac:dyDescent="0.2">
      <c r="S181" s="107"/>
      <c r="T181" s="107"/>
      <c r="U181" s="95"/>
      <c r="V181" s="95"/>
      <c r="W181" s="95"/>
      <c r="X181" s="95"/>
      <c r="Y181" s="95"/>
      <c r="Z181" s="95"/>
      <c r="AA181" s="95"/>
      <c r="AB181" s="95"/>
      <c r="AC181" s="95"/>
      <c r="AE181" s="96"/>
    </row>
    <row r="182" spans="19:31" ht="12" customHeight="1" x14ac:dyDescent="0.2">
      <c r="S182" s="107"/>
      <c r="T182" s="107"/>
      <c r="U182" s="95"/>
      <c r="V182" s="95"/>
      <c r="W182" s="95"/>
      <c r="X182" s="95"/>
      <c r="Y182" s="95"/>
      <c r="Z182" s="95"/>
      <c r="AA182" s="95"/>
      <c r="AB182" s="95"/>
      <c r="AC182" s="95"/>
      <c r="AD182" s="108"/>
      <c r="AE182" s="96"/>
    </row>
    <row r="183" spans="19:31" ht="12" customHeight="1" x14ac:dyDescent="0.2">
      <c r="S183" s="107"/>
      <c r="T183" s="107"/>
      <c r="U183" s="95"/>
      <c r="V183" s="95"/>
      <c r="W183" s="95"/>
      <c r="X183" s="95"/>
      <c r="Y183" s="95"/>
      <c r="Z183" s="95"/>
      <c r="AA183" s="95"/>
      <c r="AB183" s="95"/>
      <c r="AC183" s="95"/>
      <c r="AD183" s="108"/>
      <c r="AE183" s="96"/>
    </row>
    <row r="184" spans="19:31" ht="12" customHeight="1" x14ac:dyDescent="0.2">
      <c r="S184" s="107"/>
      <c r="T184" s="107"/>
      <c r="U184" s="95"/>
      <c r="V184" s="95"/>
      <c r="W184" s="95"/>
      <c r="X184" s="95"/>
      <c r="Y184" s="95"/>
      <c r="Z184" s="95"/>
      <c r="AA184" s="95"/>
      <c r="AB184" s="95"/>
      <c r="AC184" s="95"/>
      <c r="AD184" s="108"/>
      <c r="AE184" s="96"/>
    </row>
    <row r="185" spans="19:31" ht="12" customHeight="1" x14ac:dyDescent="0.2">
      <c r="S185" s="107"/>
      <c r="T185" s="107"/>
      <c r="U185" s="95"/>
      <c r="V185" s="95"/>
      <c r="W185" s="95"/>
      <c r="X185" s="95"/>
      <c r="Y185" s="95"/>
      <c r="Z185" s="95"/>
      <c r="AA185" s="95"/>
      <c r="AB185" s="95"/>
      <c r="AC185" s="95"/>
      <c r="AD185" s="108"/>
      <c r="AE185" s="96"/>
    </row>
    <row r="186" spans="19:31" ht="12" customHeight="1" x14ac:dyDescent="0.2">
      <c r="S186" s="107"/>
      <c r="T186" s="107"/>
      <c r="U186" s="95"/>
      <c r="V186" s="95"/>
      <c r="W186" s="95"/>
      <c r="X186" s="95"/>
      <c r="Y186" s="95"/>
      <c r="Z186" s="95"/>
      <c r="AA186" s="95"/>
      <c r="AB186" s="95"/>
      <c r="AC186" s="95"/>
      <c r="AE186" s="96"/>
    </row>
    <row r="187" spans="19:31" ht="12" customHeight="1" x14ac:dyDescent="0.2">
      <c r="S187" s="107"/>
      <c r="T187" s="107"/>
      <c r="U187" s="95"/>
      <c r="V187" s="95"/>
      <c r="W187" s="95"/>
      <c r="X187" s="95"/>
      <c r="Y187" s="95"/>
      <c r="Z187" s="95"/>
      <c r="AA187" s="95"/>
      <c r="AB187" s="95"/>
      <c r="AC187" s="95"/>
      <c r="AD187" s="108"/>
      <c r="AE187" s="96"/>
    </row>
    <row r="188" spans="19:31" ht="12" customHeight="1" x14ac:dyDescent="0.2">
      <c r="S188" s="107"/>
      <c r="T188" s="107"/>
      <c r="U188" s="95"/>
      <c r="V188" s="95"/>
      <c r="W188" s="95"/>
      <c r="X188" s="95"/>
      <c r="Y188" s="95"/>
      <c r="Z188" s="95"/>
      <c r="AA188" s="95"/>
      <c r="AB188" s="95"/>
      <c r="AC188" s="95"/>
      <c r="AD188" s="108"/>
      <c r="AE188" s="96"/>
    </row>
    <row r="189" spans="19:31" ht="12" customHeight="1" x14ac:dyDescent="0.2">
      <c r="S189" s="107"/>
      <c r="T189" s="107"/>
      <c r="U189" s="95"/>
      <c r="V189" s="95"/>
      <c r="W189" s="95"/>
      <c r="X189" s="95"/>
      <c r="Y189" s="95"/>
      <c r="Z189" s="95"/>
      <c r="AA189" s="95"/>
      <c r="AB189" s="95"/>
      <c r="AC189" s="95"/>
      <c r="AD189" s="108"/>
      <c r="AE189" s="96"/>
    </row>
    <row r="190" spans="19:31" ht="12" customHeight="1" x14ac:dyDescent="0.2">
      <c r="S190" s="107"/>
      <c r="T190" s="107"/>
      <c r="U190" s="95"/>
      <c r="V190" s="95"/>
      <c r="W190" s="95"/>
      <c r="X190" s="95"/>
      <c r="Y190" s="95"/>
      <c r="Z190" s="95"/>
      <c r="AA190" s="95"/>
      <c r="AB190" s="95"/>
      <c r="AC190" s="95"/>
      <c r="AD190" s="108"/>
      <c r="AE190" s="96"/>
    </row>
    <row r="191" spans="19:31" ht="12" customHeight="1" x14ac:dyDescent="0.2">
      <c r="S191" s="107"/>
      <c r="T191" s="107"/>
      <c r="U191" s="95"/>
      <c r="V191" s="95"/>
      <c r="W191" s="95"/>
      <c r="X191" s="95"/>
      <c r="Y191" s="95"/>
      <c r="Z191" s="95"/>
      <c r="AA191" s="95"/>
      <c r="AB191" s="95"/>
      <c r="AC191" s="95"/>
      <c r="AE191" s="96"/>
    </row>
    <row r="192" spans="19:31" ht="12" customHeight="1" x14ac:dyDescent="0.2">
      <c r="S192" s="107"/>
      <c r="T192" s="107"/>
      <c r="U192" s="95"/>
      <c r="V192" s="95"/>
      <c r="W192" s="95"/>
      <c r="X192" s="95"/>
      <c r="Y192" s="95"/>
      <c r="Z192" s="95"/>
      <c r="AA192" s="95"/>
      <c r="AB192" s="95"/>
      <c r="AC192" s="95"/>
      <c r="AD192" s="108"/>
      <c r="AE192" s="96"/>
    </row>
    <row r="193" spans="19:31" ht="12" customHeight="1" x14ac:dyDescent="0.2">
      <c r="S193" s="107"/>
      <c r="T193" s="107"/>
      <c r="U193" s="95"/>
      <c r="V193" s="95"/>
      <c r="W193" s="95"/>
      <c r="X193" s="95"/>
      <c r="Y193" s="95"/>
      <c r="Z193" s="95"/>
      <c r="AA193" s="95"/>
      <c r="AB193" s="95"/>
      <c r="AC193" s="95"/>
      <c r="AD193" s="108"/>
      <c r="AE193" s="96"/>
    </row>
    <row r="194" spans="19:31" ht="12" customHeight="1" x14ac:dyDescent="0.2">
      <c r="S194" s="107"/>
      <c r="T194" s="107"/>
      <c r="U194" s="95"/>
      <c r="V194" s="95"/>
      <c r="W194" s="95"/>
      <c r="X194" s="95"/>
      <c r="Y194" s="95"/>
      <c r="Z194" s="95"/>
      <c r="AA194" s="95"/>
      <c r="AB194" s="95"/>
      <c r="AC194" s="95"/>
      <c r="AD194" s="108"/>
      <c r="AE194" s="96"/>
    </row>
    <row r="195" spans="19:31" ht="12" customHeight="1" x14ac:dyDescent="0.2">
      <c r="S195" s="107"/>
      <c r="T195" s="107"/>
      <c r="U195" s="95"/>
      <c r="V195" s="95"/>
      <c r="W195" s="95"/>
      <c r="X195" s="95"/>
      <c r="Y195" s="95"/>
      <c r="Z195" s="95"/>
      <c r="AA195" s="95"/>
      <c r="AB195" s="95"/>
      <c r="AC195" s="95"/>
      <c r="AE195" s="96"/>
    </row>
    <row r="196" spans="19:31" ht="12" customHeight="1" x14ac:dyDescent="0.2">
      <c r="S196" s="107"/>
      <c r="T196" s="107"/>
      <c r="U196" s="95"/>
      <c r="V196" s="95"/>
      <c r="W196" s="95"/>
      <c r="X196" s="95"/>
      <c r="Y196" s="95"/>
      <c r="Z196" s="95"/>
      <c r="AA196" s="95"/>
      <c r="AB196" s="95"/>
      <c r="AC196" s="95"/>
      <c r="AD196" s="108"/>
      <c r="AE196" s="96"/>
    </row>
    <row r="197" spans="19:31" ht="12" customHeight="1" x14ac:dyDescent="0.2">
      <c r="S197" s="107"/>
      <c r="T197" s="107"/>
      <c r="U197" s="95"/>
      <c r="V197" s="95"/>
      <c r="W197" s="95"/>
      <c r="X197" s="95"/>
      <c r="Y197" s="95"/>
      <c r="Z197" s="95"/>
      <c r="AA197" s="95"/>
      <c r="AB197" s="95"/>
      <c r="AC197" s="95"/>
      <c r="AD197" s="108"/>
      <c r="AE197" s="96"/>
    </row>
    <row r="198" spans="19:31" ht="12" customHeight="1" x14ac:dyDescent="0.2">
      <c r="S198" s="107"/>
      <c r="T198" s="107"/>
      <c r="U198" s="95"/>
      <c r="V198" s="95"/>
      <c r="W198" s="95"/>
      <c r="X198" s="95"/>
      <c r="Y198" s="95"/>
      <c r="Z198" s="95"/>
      <c r="AA198" s="95"/>
      <c r="AB198" s="95"/>
      <c r="AC198" s="95"/>
      <c r="AD198" s="108"/>
      <c r="AE198" s="96"/>
    </row>
    <row r="199" spans="19:31" ht="12" customHeight="1" x14ac:dyDescent="0.2">
      <c r="S199" s="107"/>
      <c r="T199" s="107"/>
      <c r="U199" s="95"/>
      <c r="V199" s="95"/>
      <c r="W199" s="95"/>
      <c r="X199" s="95"/>
      <c r="Y199" s="95"/>
      <c r="Z199" s="95"/>
      <c r="AA199" s="95"/>
      <c r="AB199" s="95"/>
      <c r="AC199" s="95"/>
      <c r="AD199" s="108"/>
      <c r="AE199" s="96"/>
    </row>
    <row r="200" spans="19:31" ht="12" customHeight="1" x14ac:dyDescent="0.2">
      <c r="S200" s="107"/>
      <c r="T200" s="107"/>
      <c r="U200" s="95"/>
      <c r="V200" s="95"/>
      <c r="W200" s="95"/>
      <c r="X200" s="95"/>
      <c r="Y200" s="95"/>
      <c r="Z200" s="95"/>
      <c r="AA200" s="95"/>
      <c r="AB200" s="95"/>
      <c r="AC200" s="95"/>
      <c r="AE200" s="96"/>
    </row>
    <row r="201" spans="19:31" ht="12" customHeight="1" x14ac:dyDescent="0.2">
      <c r="S201" s="107"/>
      <c r="T201" s="107"/>
      <c r="U201" s="95"/>
      <c r="V201" s="95"/>
      <c r="W201" s="95"/>
      <c r="X201" s="95"/>
      <c r="Y201" s="95"/>
      <c r="Z201" s="95"/>
      <c r="AA201" s="95"/>
      <c r="AB201" s="95"/>
      <c r="AC201" s="95"/>
      <c r="AD201" s="108"/>
      <c r="AE201" s="96"/>
    </row>
    <row r="202" spans="19:31" ht="12" customHeight="1" x14ac:dyDescent="0.2">
      <c r="S202" s="107"/>
      <c r="T202" s="107"/>
      <c r="U202" s="95"/>
      <c r="V202" s="95"/>
      <c r="W202" s="95"/>
      <c r="X202" s="95"/>
      <c r="Y202" s="95"/>
      <c r="Z202" s="95"/>
      <c r="AA202" s="95"/>
      <c r="AB202" s="95"/>
      <c r="AC202" s="95"/>
      <c r="AD202" s="108"/>
      <c r="AE202" s="96"/>
    </row>
    <row r="203" spans="19:31" ht="12" customHeight="1" x14ac:dyDescent="0.2">
      <c r="S203" s="107"/>
      <c r="T203" s="107"/>
      <c r="U203" s="95"/>
      <c r="V203" s="95"/>
      <c r="W203" s="95"/>
      <c r="X203" s="95"/>
      <c r="Y203" s="95"/>
      <c r="Z203" s="95"/>
      <c r="AA203" s="95"/>
      <c r="AB203" s="95"/>
      <c r="AC203" s="95"/>
      <c r="AD203" s="108"/>
      <c r="AE203" s="96"/>
    </row>
    <row r="204" spans="19:31" ht="12" customHeight="1" x14ac:dyDescent="0.2">
      <c r="S204" s="107"/>
      <c r="T204" s="107"/>
      <c r="U204" s="95"/>
      <c r="V204" s="95"/>
      <c r="W204" s="95"/>
      <c r="X204" s="95"/>
      <c r="Y204" s="95"/>
      <c r="Z204" s="95"/>
      <c r="AA204" s="95"/>
      <c r="AB204" s="95"/>
      <c r="AC204" s="95"/>
      <c r="AD204" s="108"/>
      <c r="AE204" s="96"/>
    </row>
    <row r="205" spans="19:31" ht="12" customHeight="1" x14ac:dyDescent="0.2">
      <c r="U205" s="95"/>
      <c r="V205" s="95"/>
      <c r="W205" s="95"/>
      <c r="X205" s="95"/>
      <c r="Y205" s="95"/>
      <c r="Z205" s="95"/>
      <c r="AA205" s="95"/>
      <c r="AB205" s="95"/>
      <c r="AC205" s="95"/>
      <c r="AE205" s="96"/>
    </row>
    <row r="206" spans="19:31" ht="12" customHeight="1" x14ac:dyDescent="0.2">
      <c r="S206" s="107"/>
      <c r="T206" s="107"/>
      <c r="U206" s="95"/>
      <c r="V206" s="95"/>
      <c r="W206" s="95"/>
      <c r="X206" s="95"/>
      <c r="Y206" s="95"/>
      <c r="Z206" s="95"/>
      <c r="AA206" s="95"/>
      <c r="AB206" s="95"/>
      <c r="AC206" s="95"/>
      <c r="AE206" s="96"/>
    </row>
    <row r="207" spans="19:31" ht="12" customHeight="1" x14ac:dyDescent="0.2">
      <c r="S207" s="107"/>
      <c r="T207" s="107"/>
      <c r="U207" s="95"/>
      <c r="V207" s="95"/>
      <c r="W207" s="95"/>
      <c r="X207" s="95"/>
      <c r="Y207" s="95"/>
      <c r="Z207" s="95"/>
      <c r="AA207" s="95"/>
      <c r="AB207" s="95"/>
      <c r="AC207" s="95"/>
      <c r="AE207" s="96"/>
    </row>
    <row r="208" spans="19:31" ht="12" customHeight="1" x14ac:dyDescent="0.2">
      <c r="S208" s="107"/>
      <c r="T208" s="107"/>
      <c r="U208" s="95"/>
      <c r="V208" s="95"/>
      <c r="W208" s="95"/>
      <c r="X208" s="95"/>
      <c r="Y208" s="95"/>
      <c r="Z208" s="95"/>
      <c r="AA208" s="95"/>
      <c r="AB208" s="95"/>
      <c r="AC208" s="95"/>
      <c r="AE208" s="96"/>
    </row>
    <row r="209" spans="19:31" ht="12" customHeight="1" x14ac:dyDescent="0.2">
      <c r="S209" s="107"/>
      <c r="T209" s="107"/>
      <c r="U209" s="95"/>
      <c r="V209" s="95"/>
      <c r="W209" s="95"/>
      <c r="X209" s="95"/>
      <c r="Y209" s="95"/>
      <c r="Z209" s="95"/>
      <c r="AA209" s="95"/>
      <c r="AB209" s="95"/>
      <c r="AC209" s="95"/>
      <c r="AE209" s="96"/>
    </row>
    <row r="210" spans="19:31" ht="12" customHeight="1" x14ac:dyDescent="0.2">
      <c r="S210" s="107"/>
      <c r="T210" s="107"/>
      <c r="U210" s="95"/>
      <c r="V210" s="95"/>
      <c r="W210" s="95"/>
      <c r="X210" s="95"/>
      <c r="Y210" s="95"/>
      <c r="Z210" s="95"/>
      <c r="AA210" s="95"/>
      <c r="AB210" s="95"/>
      <c r="AC210" s="95"/>
      <c r="AD210" s="108"/>
      <c r="AE210" s="96"/>
    </row>
    <row r="211" spans="19:31" ht="12" customHeight="1" x14ac:dyDescent="0.2">
      <c r="S211" s="107"/>
      <c r="T211" s="107"/>
      <c r="U211" s="95"/>
      <c r="V211" s="95"/>
      <c r="W211" s="95"/>
      <c r="X211" s="95"/>
      <c r="Y211" s="95"/>
      <c r="Z211" s="95"/>
      <c r="AA211" s="95"/>
      <c r="AB211" s="95"/>
      <c r="AC211" s="95"/>
      <c r="AE211" s="96"/>
    </row>
    <row r="212" spans="19:31" ht="12" customHeight="1" x14ac:dyDescent="0.2">
      <c r="S212" s="107"/>
      <c r="T212" s="107"/>
      <c r="U212" s="95"/>
      <c r="V212" s="95"/>
      <c r="W212" s="95"/>
      <c r="X212" s="95"/>
      <c r="Y212" s="95"/>
      <c r="Z212" s="95"/>
      <c r="AA212" s="95"/>
      <c r="AB212" s="95"/>
      <c r="AC212" s="95"/>
      <c r="AD212" s="108"/>
      <c r="AE212" s="96"/>
    </row>
    <row r="213" spans="19:31" ht="12" customHeight="1" x14ac:dyDescent="0.2">
      <c r="S213" s="107"/>
      <c r="T213" s="107"/>
      <c r="U213" s="95"/>
      <c r="V213" s="95"/>
      <c r="W213" s="95"/>
      <c r="X213" s="95"/>
      <c r="Y213" s="95"/>
      <c r="Z213" s="95"/>
      <c r="AA213" s="95"/>
      <c r="AB213" s="95"/>
      <c r="AC213" s="95"/>
      <c r="AD213" s="108"/>
      <c r="AE213" s="96"/>
    </row>
    <row r="214" spans="19:31" ht="12" customHeight="1" x14ac:dyDescent="0.2">
      <c r="S214" s="107"/>
      <c r="T214" s="107"/>
      <c r="U214" s="95"/>
      <c r="V214" s="95"/>
      <c r="W214" s="95"/>
      <c r="X214" s="95"/>
      <c r="Y214" s="95"/>
      <c r="Z214" s="95"/>
      <c r="AA214" s="95"/>
      <c r="AB214" s="95"/>
      <c r="AC214" s="95"/>
      <c r="AE214" s="96"/>
    </row>
    <row r="215" spans="19:31" ht="12" customHeight="1" x14ac:dyDescent="0.2">
      <c r="S215" s="107"/>
      <c r="T215" s="107"/>
      <c r="U215" s="95"/>
      <c r="V215" s="95"/>
      <c r="W215" s="95"/>
      <c r="X215" s="95"/>
      <c r="Y215" s="95"/>
      <c r="Z215" s="95"/>
      <c r="AA215" s="95"/>
      <c r="AB215" s="95"/>
      <c r="AC215" s="95"/>
      <c r="AD215" s="108"/>
      <c r="AE215" s="96"/>
    </row>
    <row r="216" spans="19:31" ht="12" customHeight="1" x14ac:dyDescent="0.2">
      <c r="S216" s="107"/>
      <c r="T216" s="107"/>
      <c r="U216" s="95"/>
      <c r="V216" s="95"/>
      <c r="W216" s="95"/>
      <c r="X216" s="95"/>
      <c r="Y216" s="95"/>
      <c r="Z216" s="95"/>
      <c r="AA216" s="95"/>
      <c r="AB216" s="95"/>
      <c r="AC216" s="95"/>
      <c r="AD216" s="108"/>
      <c r="AE216" s="96"/>
    </row>
    <row r="217" spans="19:31" ht="12" customHeight="1" x14ac:dyDescent="0.2">
      <c r="S217" s="107"/>
      <c r="T217" s="107"/>
      <c r="U217" s="95"/>
      <c r="V217" s="95"/>
      <c r="W217" s="95"/>
      <c r="X217" s="95"/>
      <c r="Y217" s="95"/>
      <c r="Z217" s="95"/>
      <c r="AA217" s="95"/>
      <c r="AB217" s="95"/>
      <c r="AC217" s="95"/>
      <c r="AE217" s="96"/>
    </row>
    <row r="218" spans="19:31" ht="12" customHeight="1" x14ac:dyDescent="0.2">
      <c r="S218" s="107"/>
      <c r="T218" s="107"/>
      <c r="U218" s="95"/>
      <c r="V218" s="95"/>
      <c r="W218" s="95"/>
      <c r="X218" s="95"/>
      <c r="Y218" s="95"/>
      <c r="Z218" s="95"/>
      <c r="AA218" s="95"/>
      <c r="AB218" s="95"/>
      <c r="AC218" s="95"/>
      <c r="AE218" s="96"/>
    </row>
    <row r="219" spans="19:31" ht="12" customHeight="1" x14ac:dyDescent="0.2">
      <c r="U219" s="95"/>
      <c r="V219" s="95"/>
      <c r="W219" s="95"/>
      <c r="X219" s="95"/>
      <c r="Y219" s="95"/>
      <c r="Z219" s="95"/>
      <c r="AA219" s="95"/>
      <c r="AB219" s="95"/>
      <c r="AC219" s="95"/>
      <c r="AE219" s="96"/>
    </row>
    <row r="220" spans="19:31" ht="12" customHeight="1" x14ac:dyDescent="0.2">
      <c r="S220" s="107"/>
      <c r="T220" s="107"/>
      <c r="U220" s="95"/>
      <c r="V220" s="95"/>
      <c r="W220" s="95"/>
      <c r="X220" s="95"/>
      <c r="Y220" s="95"/>
      <c r="Z220" s="95"/>
      <c r="AA220" s="95"/>
      <c r="AB220" s="95"/>
      <c r="AC220" s="95"/>
      <c r="AD220" s="108"/>
      <c r="AE220" s="96"/>
    </row>
    <row r="221" spans="19:31" ht="12" customHeight="1" x14ac:dyDescent="0.2">
      <c r="S221" s="107"/>
      <c r="T221" s="107"/>
      <c r="U221" s="95"/>
      <c r="V221" s="95"/>
      <c r="W221" s="95"/>
      <c r="X221" s="95"/>
      <c r="Y221" s="95"/>
      <c r="Z221" s="95"/>
      <c r="AA221" s="95"/>
      <c r="AB221" s="95"/>
      <c r="AC221" s="95"/>
      <c r="AD221" s="108"/>
      <c r="AE221" s="96"/>
    </row>
    <row r="222" spans="19:31" ht="12" customHeight="1" x14ac:dyDescent="0.2">
      <c r="S222" s="107"/>
      <c r="T222" s="107"/>
      <c r="U222" s="95"/>
      <c r="V222" s="95"/>
      <c r="W222" s="95"/>
      <c r="X222" s="95"/>
      <c r="Y222" s="95"/>
      <c r="Z222" s="95"/>
      <c r="AA222" s="95"/>
      <c r="AB222" s="95"/>
      <c r="AC222" s="95"/>
      <c r="AD222" s="108"/>
      <c r="AE222" s="96"/>
    </row>
    <row r="223" spans="19:31" ht="12" customHeight="1" x14ac:dyDescent="0.2">
      <c r="U223" s="95"/>
      <c r="V223" s="95"/>
      <c r="W223" s="95"/>
      <c r="X223" s="95"/>
      <c r="Y223" s="95"/>
      <c r="Z223" s="95"/>
      <c r="AA223" s="95"/>
      <c r="AB223" s="95"/>
      <c r="AC223" s="95"/>
      <c r="AE223" s="96"/>
    </row>
    <row r="224" spans="19:31" ht="12" customHeight="1" x14ac:dyDescent="0.2">
      <c r="S224" s="107"/>
      <c r="T224" s="107"/>
      <c r="U224" s="95"/>
      <c r="V224" s="95"/>
      <c r="W224" s="95"/>
      <c r="X224" s="95"/>
      <c r="Y224" s="95"/>
      <c r="Z224" s="95"/>
      <c r="AA224" s="95"/>
      <c r="AB224" s="95"/>
      <c r="AC224" s="95"/>
      <c r="AD224" s="108"/>
      <c r="AE224" s="96"/>
    </row>
    <row r="225" spans="1:31" ht="12" customHeight="1" x14ac:dyDescent="0.2">
      <c r="S225" s="107"/>
      <c r="T225" s="107"/>
      <c r="U225" s="95"/>
      <c r="V225" s="95"/>
      <c r="W225" s="95"/>
      <c r="X225" s="95"/>
      <c r="Y225" s="95"/>
      <c r="Z225" s="95"/>
      <c r="AA225" s="95"/>
      <c r="AB225" s="95"/>
      <c r="AC225" s="95"/>
      <c r="AD225" s="108"/>
      <c r="AE225" s="96"/>
    </row>
    <row r="226" spans="1:31" ht="12" customHeight="1" x14ac:dyDescent="0.2">
      <c r="S226" s="107"/>
      <c r="T226" s="107"/>
      <c r="U226" s="95"/>
      <c r="V226" s="95"/>
      <c r="W226" s="95"/>
      <c r="X226" s="95"/>
      <c r="Y226" s="95"/>
      <c r="Z226" s="95"/>
      <c r="AA226" s="95"/>
      <c r="AB226" s="95"/>
      <c r="AC226" s="95"/>
      <c r="AD226" s="108"/>
      <c r="AE226" s="96"/>
    </row>
    <row r="227" spans="1:31" ht="12" customHeight="1" x14ac:dyDescent="0.2">
      <c r="S227" s="107"/>
      <c r="T227" s="107"/>
      <c r="U227" s="95"/>
      <c r="V227" s="95"/>
      <c r="W227" s="95"/>
      <c r="X227" s="95"/>
      <c r="Y227" s="95"/>
      <c r="Z227" s="95"/>
      <c r="AA227" s="95"/>
      <c r="AB227" s="95"/>
      <c r="AC227" s="95"/>
      <c r="AD227" s="108"/>
      <c r="AE227" s="96"/>
    </row>
    <row r="228" spans="1:31" ht="12" customHeight="1" x14ac:dyDescent="0.2">
      <c r="S228" s="107"/>
      <c r="T228" s="107"/>
      <c r="U228" s="95"/>
      <c r="V228" s="95"/>
      <c r="W228" s="95"/>
      <c r="X228" s="95"/>
      <c r="Y228" s="95"/>
      <c r="Z228" s="95"/>
      <c r="AA228" s="95"/>
      <c r="AB228" s="95"/>
      <c r="AC228" s="95"/>
      <c r="AE228" s="96"/>
    </row>
    <row r="229" spans="1:31" s="99" customFormat="1" ht="12" customHeight="1" x14ac:dyDescent="0.2">
      <c r="A229" s="75"/>
      <c r="B229" s="75"/>
      <c r="C229" s="75"/>
      <c r="D229" s="75"/>
      <c r="E229" s="75"/>
      <c r="F229" s="75"/>
      <c r="G229" s="75"/>
      <c r="H229" s="75"/>
      <c r="I229" s="75"/>
      <c r="J229" s="75"/>
      <c r="K229" s="75"/>
      <c r="L229" s="75"/>
      <c r="M229" s="75"/>
      <c r="N229" s="75"/>
      <c r="O229" s="75"/>
      <c r="P229" s="75"/>
      <c r="Q229" s="75"/>
      <c r="S229" s="107"/>
      <c r="T229" s="107"/>
      <c r="U229" s="95"/>
      <c r="V229" s="95"/>
      <c r="W229" s="95"/>
      <c r="X229" s="95"/>
      <c r="Y229" s="95"/>
      <c r="Z229" s="95"/>
      <c r="AA229" s="95"/>
      <c r="AB229" s="95"/>
      <c r="AC229" s="95"/>
      <c r="AD229" s="108"/>
      <c r="AE229" s="96"/>
    </row>
    <row r="230" spans="1:31" s="99" customFormat="1" ht="12" customHeight="1" x14ac:dyDescent="0.2">
      <c r="A230" s="75"/>
      <c r="B230" s="75"/>
      <c r="C230" s="75"/>
      <c r="D230" s="75"/>
      <c r="E230" s="75"/>
      <c r="F230" s="75"/>
      <c r="G230" s="75"/>
      <c r="H230" s="75"/>
      <c r="I230" s="75"/>
      <c r="J230" s="75"/>
      <c r="K230" s="75"/>
      <c r="L230" s="75"/>
      <c r="M230" s="75"/>
      <c r="N230" s="75"/>
      <c r="O230" s="75"/>
      <c r="P230" s="75"/>
      <c r="Q230" s="75"/>
      <c r="S230" s="107"/>
      <c r="T230" s="107"/>
      <c r="U230" s="95"/>
      <c r="V230" s="95"/>
      <c r="W230" s="95"/>
      <c r="X230" s="95"/>
      <c r="Y230" s="95"/>
      <c r="Z230" s="95"/>
      <c r="AA230" s="95"/>
      <c r="AB230" s="95"/>
      <c r="AC230" s="95"/>
      <c r="AD230" s="108"/>
      <c r="AE230" s="96"/>
    </row>
    <row r="231" spans="1:31" s="99" customFormat="1" ht="12" customHeight="1" x14ac:dyDescent="0.2">
      <c r="A231" s="75"/>
      <c r="B231" s="75"/>
      <c r="C231" s="75"/>
      <c r="D231" s="75"/>
      <c r="E231" s="75"/>
      <c r="F231" s="75"/>
      <c r="G231" s="75"/>
      <c r="H231" s="75"/>
      <c r="I231" s="75"/>
      <c r="J231" s="75"/>
      <c r="K231" s="75"/>
      <c r="L231" s="75"/>
      <c r="M231" s="75"/>
      <c r="N231" s="75"/>
      <c r="O231" s="75"/>
      <c r="P231" s="75"/>
      <c r="Q231" s="75"/>
      <c r="S231" s="107"/>
      <c r="T231" s="107"/>
      <c r="U231" s="95"/>
      <c r="V231" s="95"/>
      <c r="W231" s="95"/>
      <c r="X231" s="95"/>
      <c r="Y231" s="95"/>
      <c r="Z231" s="95"/>
      <c r="AA231" s="95"/>
      <c r="AB231" s="95"/>
      <c r="AC231" s="95"/>
      <c r="AD231" s="108"/>
      <c r="AE231" s="96"/>
    </row>
    <row r="232" spans="1:31" s="99" customFormat="1" ht="12" customHeight="1" x14ac:dyDescent="0.2">
      <c r="A232" s="75"/>
      <c r="B232" s="75"/>
      <c r="C232" s="75"/>
      <c r="D232" s="75"/>
      <c r="E232" s="75"/>
      <c r="F232" s="75"/>
      <c r="G232" s="75"/>
      <c r="H232" s="75"/>
      <c r="I232" s="75"/>
      <c r="J232" s="75"/>
      <c r="K232" s="75"/>
      <c r="L232" s="75"/>
      <c r="M232" s="75"/>
      <c r="N232" s="75"/>
      <c r="O232" s="75"/>
      <c r="P232" s="75"/>
      <c r="Q232" s="75"/>
      <c r="S232" s="107"/>
      <c r="T232" s="107"/>
      <c r="U232" s="95"/>
      <c r="V232" s="95"/>
      <c r="W232" s="95"/>
      <c r="X232" s="95"/>
      <c r="Y232" s="95"/>
      <c r="Z232" s="95"/>
      <c r="AA232" s="95"/>
      <c r="AB232" s="95"/>
      <c r="AC232" s="95"/>
      <c r="AD232" s="109"/>
      <c r="AE232" s="96"/>
    </row>
    <row r="233" spans="1:31" s="99" customFormat="1" ht="12" customHeight="1" x14ac:dyDescent="0.2">
      <c r="A233" s="75"/>
      <c r="B233" s="75"/>
      <c r="C233" s="75"/>
      <c r="D233" s="75"/>
      <c r="E233" s="75"/>
      <c r="F233" s="75"/>
      <c r="G233" s="75"/>
      <c r="H233" s="75"/>
      <c r="I233" s="75"/>
      <c r="J233" s="75"/>
      <c r="K233" s="75"/>
      <c r="L233" s="75"/>
      <c r="M233" s="75"/>
      <c r="N233" s="75"/>
      <c r="O233" s="75"/>
      <c r="P233" s="75"/>
      <c r="Q233" s="75"/>
      <c r="S233" s="107"/>
      <c r="T233" s="107"/>
      <c r="U233" s="95"/>
      <c r="V233" s="95"/>
      <c r="W233" s="95"/>
      <c r="X233" s="95"/>
      <c r="Y233" s="95"/>
      <c r="Z233" s="95"/>
      <c r="AA233" s="95"/>
      <c r="AB233" s="95"/>
      <c r="AC233" s="95"/>
      <c r="AD233" s="108"/>
      <c r="AE233" s="96"/>
    </row>
    <row r="234" spans="1:31" s="99" customFormat="1" ht="12" customHeight="1" x14ac:dyDescent="0.2">
      <c r="A234" s="75"/>
      <c r="B234" s="75"/>
      <c r="C234" s="75"/>
      <c r="D234" s="75"/>
      <c r="E234" s="75"/>
      <c r="F234" s="75"/>
      <c r="G234" s="75"/>
      <c r="H234" s="75"/>
      <c r="I234" s="75"/>
      <c r="J234" s="75"/>
      <c r="K234" s="75"/>
      <c r="L234" s="75"/>
      <c r="M234" s="75"/>
      <c r="N234" s="75"/>
      <c r="O234" s="75"/>
      <c r="P234" s="75"/>
      <c r="Q234" s="75"/>
      <c r="S234" s="107"/>
      <c r="T234" s="107"/>
      <c r="U234" s="95"/>
      <c r="V234" s="95"/>
      <c r="W234" s="95"/>
      <c r="X234" s="95"/>
      <c r="Y234" s="95"/>
      <c r="Z234" s="95"/>
      <c r="AA234" s="95"/>
      <c r="AB234" s="95"/>
      <c r="AC234" s="95"/>
      <c r="AD234" s="108"/>
      <c r="AE234" s="96"/>
    </row>
    <row r="235" spans="1:31" s="100" customFormat="1" ht="12" customHeight="1" x14ac:dyDescent="0.2">
      <c r="A235" s="77"/>
      <c r="B235" s="77"/>
      <c r="C235" s="77"/>
      <c r="D235" s="77"/>
      <c r="E235" s="77"/>
      <c r="F235" s="77"/>
      <c r="G235" s="77"/>
      <c r="H235" s="77"/>
      <c r="I235" s="77"/>
      <c r="J235" s="77"/>
      <c r="K235" s="77"/>
      <c r="L235" s="77"/>
      <c r="M235" s="77"/>
      <c r="N235" s="77"/>
      <c r="O235" s="77"/>
      <c r="P235" s="77"/>
      <c r="Q235" s="77"/>
      <c r="S235" s="107"/>
      <c r="T235" s="107"/>
      <c r="U235" s="95"/>
      <c r="V235" s="95"/>
      <c r="W235" s="95"/>
      <c r="X235" s="95"/>
      <c r="Y235" s="95"/>
      <c r="Z235" s="95"/>
      <c r="AA235" s="95"/>
      <c r="AB235" s="95"/>
      <c r="AC235" s="95"/>
      <c r="AD235" s="108"/>
      <c r="AE235" s="96"/>
    </row>
    <row r="236" spans="1:31" s="99" customFormat="1" ht="12" customHeight="1" x14ac:dyDescent="0.2">
      <c r="A236" s="75"/>
      <c r="B236" s="75"/>
      <c r="C236" s="75"/>
      <c r="D236" s="75"/>
      <c r="E236" s="75"/>
      <c r="F236" s="75"/>
      <c r="G236" s="75"/>
      <c r="H236" s="75"/>
      <c r="I236" s="75"/>
      <c r="J236" s="75"/>
      <c r="K236" s="75"/>
      <c r="L236" s="75"/>
      <c r="M236" s="75"/>
      <c r="N236" s="75"/>
      <c r="O236" s="75"/>
      <c r="P236" s="75"/>
      <c r="Q236" s="75"/>
      <c r="S236" s="107"/>
      <c r="T236" s="107"/>
      <c r="U236" s="95"/>
      <c r="V236" s="95"/>
      <c r="W236" s="95"/>
      <c r="X236" s="95"/>
      <c r="Y236" s="95"/>
      <c r="Z236" s="95"/>
      <c r="AA236" s="95"/>
      <c r="AB236" s="95"/>
      <c r="AC236" s="95"/>
      <c r="AD236" s="108"/>
      <c r="AE236" s="96"/>
    </row>
    <row r="237" spans="1:31" ht="12" customHeight="1" x14ac:dyDescent="0.2">
      <c r="U237" s="95"/>
      <c r="V237" s="95"/>
      <c r="W237" s="95"/>
      <c r="X237" s="95"/>
      <c r="Y237" s="95"/>
      <c r="Z237" s="95"/>
      <c r="AA237" s="95"/>
      <c r="AB237" s="95"/>
      <c r="AC237" s="95"/>
      <c r="AE237" s="96"/>
    </row>
    <row r="238" spans="1:31" ht="12" customHeight="1" x14ac:dyDescent="0.2">
      <c r="S238" s="107"/>
      <c r="T238" s="107"/>
      <c r="U238" s="95"/>
      <c r="V238" s="95"/>
      <c r="W238" s="95"/>
      <c r="X238" s="95"/>
      <c r="Y238" s="95"/>
      <c r="Z238" s="95"/>
      <c r="AA238" s="95"/>
      <c r="AB238" s="95"/>
      <c r="AC238" s="95"/>
      <c r="AD238" s="108"/>
      <c r="AE238" s="96"/>
    </row>
    <row r="239" spans="1:31" ht="12" customHeight="1" x14ac:dyDescent="0.2">
      <c r="S239" s="107"/>
      <c r="T239" s="107"/>
      <c r="U239" s="95"/>
      <c r="V239" s="95"/>
      <c r="W239" s="95"/>
      <c r="X239" s="95"/>
      <c r="Y239" s="95"/>
      <c r="Z239" s="95"/>
      <c r="AA239" s="95"/>
      <c r="AB239" s="95"/>
      <c r="AC239" s="95"/>
      <c r="AD239" s="108"/>
      <c r="AE239" s="96"/>
    </row>
    <row r="240" spans="1:31" ht="12" customHeight="1" x14ac:dyDescent="0.2">
      <c r="S240" s="107"/>
      <c r="T240" s="107"/>
      <c r="U240" s="95"/>
      <c r="V240" s="95"/>
      <c r="W240" s="95"/>
      <c r="X240" s="95"/>
      <c r="Y240" s="95"/>
      <c r="Z240" s="95"/>
      <c r="AA240" s="95"/>
      <c r="AB240" s="95"/>
      <c r="AC240" s="95"/>
      <c r="AE240" s="96"/>
    </row>
    <row r="241" spans="1:31" ht="12" customHeight="1" x14ac:dyDescent="0.2">
      <c r="S241" s="107"/>
      <c r="T241" s="107"/>
      <c r="U241" s="95"/>
      <c r="V241" s="95"/>
      <c r="W241" s="95"/>
      <c r="X241" s="95"/>
      <c r="Y241" s="95"/>
      <c r="Z241" s="95"/>
      <c r="AA241" s="95"/>
      <c r="AB241" s="95"/>
      <c r="AC241" s="95"/>
      <c r="AD241" s="108"/>
      <c r="AE241" s="96"/>
    </row>
    <row r="242" spans="1:31" ht="12" customHeight="1" x14ac:dyDescent="0.2">
      <c r="S242" s="107"/>
      <c r="T242" s="107"/>
      <c r="U242" s="95"/>
      <c r="V242" s="95"/>
      <c r="W242" s="95"/>
      <c r="X242" s="95"/>
      <c r="Y242" s="95"/>
      <c r="Z242" s="95"/>
      <c r="AA242" s="95"/>
      <c r="AB242" s="95"/>
      <c r="AC242" s="95"/>
      <c r="AD242" s="108"/>
      <c r="AE242" s="96"/>
    </row>
    <row r="243" spans="1:31" ht="12" customHeight="1" x14ac:dyDescent="0.2">
      <c r="S243" s="107"/>
      <c r="T243" s="107"/>
      <c r="U243" s="95"/>
      <c r="V243" s="95"/>
      <c r="W243" s="95"/>
      <c r="X243" s="95"/>
      <c r="Y243" s="95"/>
      <c r="Z243" s="95"/>
      <c r="AA243" s="95"/>
      <c r="AB243" s="95"/>
      <c r="AC243" s="95"/>
      <c r="AD243" s="108"/>
      <c r="AE243" s="96"/>
    </row>
    <row r="244" spans="1:31" ht="12" customHeight="1" x14ac:dyDescent="0.2">
      <c r="S244" s="107"/>
      <c r="T244" s="107"/>
      <c r="U244" s="95"/>
      <c r="V244" s="95"/>
      <c r="W244" s="95"/>
      <c r="X244" s="95"/>
      <c r="Y244" s="95"/>
      <c r="Z244" s="95"/>
      <c r="AA244" s="95"/>
      <c r="AB244" s="95"/>
      <c r="AC244" s="95"/>
      <c r="AE244" s="96"/>
    </row>
    <row r="245" spans="1:31" s="98" customFormat="1" ht="12" customHeight="1" x14ac:dyDescent="0.2">
      <c r="A245" s="75"/>
      <c r="B245" s="75"/>
      <c r="C245" s="75"/>
      <c r="D245" s="75"/>
      <c r="E245" s="75"/>
      <c r="F245" s="75"/>
      <c r="G245" s="75"/>
      <c r="H245" s="75"/>
      <c r="I245" s="75"/>
      <c r="J245" s="75"/>
      <c r="K245" s="75"/>
      <c r="L245" s="75"/>
      <c r="M245" s="75"/>
      <c r="N245" s="75"/>
      <c r="O245" s="75"/>
      <c r="P245" s="75"/>
      <c r="Q245" s="75"/>
      <c r="S245" s="107"/>
      <c r="T245" s="107"/>
      <c r="U245" s="95"/>
      <c r="V245" s="95"/>
      <c r="W245" s="95"/>
      <c r="X245" s="95"/>
      <c r="Y245" s="95"/>
      <c r="Z245" s="95"/>
      <c r="AA245" s="95"/>
      <c r="AB245" s="95"/>
      <c r="AC245" s="95"/>
      <c r="AD245" s="109"/>
      <c r="AE245" s="96"/>
    </row>
    <row r="246" spans="1:31" ht="12" customHeight="1" x14ac:dyDescent="0.2">
      <c r="S246" s="107"/>
      <c r="T246" s="107"/>
      <c r="U246" s="95"/>
      <c r="V246" s="95"/>
      <c r="W246" s="95"/>
      <c r="X246" s="95"/>
      <c r="Y246" s="95"/>
      <c r="Z246" s="95"/>
      <c r="AA246" s="95"/>
      <c r="AB246" s="95"/>
      <c r="AC246" s="95"/>
      <c r="AE246" s="96"/>
    </row>
    <row r="247" spans="1:31" ht="12" customHeight="1" x14ac:dyDescent="0.2">
      <c r="S247" s="107"/>
      <c r="T247" s="107"/>
      <c r="U247" s="95"/>
      <c r="V247" s="95"/>
      <c r="W247" s="95"/>
      <c r="X247" s="95"/>
      <c r="Y247" s="95"/>
      <c r="Z247" s="95"/>
      <c r="AA247" s="95"/>
      <c r="AB247" s="95"/>
      <c r="AC247" s="95"/>
      <c r="AE247" s="96"/>
    </row>
    <row r="248" spans="1:31" ht="12" customHeight="1" x14ac:dyDescent="0.2">
      <c r="U248" s="95"/>
      <c r="V248" s="95"/>
      <c r="W248" s="95"/>
      <c r="X248" s="95"/>
      <c r="Y248" s="95"/>
      <c r="Z248" s="95"/>
      <c r="AA248" s="95"/>
      <c r="AB248" s="95"/>
      <c r="AC248" s="95"/>
      <c r="AE248" s="96"/>
    </row>
    <row r="249" spans="1:31" ht="12" customHeight="1" x14ac:dyDescent="0.2">
      <c r="S249" s="107"/>
      <c r="T249" s="107"/>
      <c r="U249" s="95"/>
      <c r="V249" s="95"/>
      <c r="W249" s="95"/>
      <c r="X249" s="95"/>
      <c r="Y249" s="95"/>
      <c r="Z249" s="95"/>
      <c r="AA249" s="95"/>
      <c r="AB249" s="95"/>
      <c r="AC249" s="95"/>
      <c r="AD249" s="108"/>
      <c r="AE249" s="96"/>
    </row>
    <row r="250" spans="1:31" ht="12" customHeight="1" x14ac:dyDescent="0.2">
      <c r="S250" s="107"/>
      <c r="T250" s="107"/>
      <c r="U250" s="95"/>
      <c r="V250" s="95"/>
      <c r="W250" s="95"/>
      <c r="X250" s="95"/>
      <c r="Y250" s="95"/>
      <c r="Z250" s="95"/>
      <c r="AA250" s="95"/>
      <c r="AB250" s="95"/>
      <c r="AC250" s="95"/>
      <c r="AE250" s="96"/>
    </row>
    <row r="251" spans="1:31" ht="12" customHeight="1" x14ac:dyDescent="0.2">
      <c r="S251" s="107"/>
      <c r="T251" s="107"/>
      <c r="U251" s="95"/>
      <c r="V251" s="95"/>
      <c r="W251" s="95"/>
      <c r="X251" s="95"/>
      <c r="Y251" s="95"/>
      <c r="Z251" s="95"/>
      <c r="AA251" s="95"/>
      <c r="AB251" s="95"/>
      <c r="AC251" s="95"/>
      <c r="AE251" s="96"/>
    </row>
    <row r="252" spans="1:31" ht="12" customHeight="1" x14ac:dyDescent="0.2">
      <c r="S252" s="107"/>
      <c r="T252" s="107"/>
      <c r="U252" s="95"/>
      <c r="V252" s="95"/>
      <c r="W252" s="95"/>
      <c r="X252" s="95"/>
      <c r="Y252" s="95"/>
      <c r="Z252" s="95"/>
      <c r="AA252" s="95"/>
      <c r="AB252" s="95"/>
      <c r="AC252" s="95"/>
      <c r="AE252" s="96"/>
    </row>
    <row r="253" spans="1:31" ht="12" customHeight="1" x14ac:dyDescent="0.2">
      <c r="S253" s="93"/>
      <c r="U253" s="95"/>
      <c r="V253" s="95"/>
      <c r="W253" s="95"/>
      <c r="X253" s="95"/>
      <c r="Y253" s="95"/>
      <c r="Z253" s="95"/>
      <c r="AA253" s="95"/>
      <c r="AB253" s="95"/>
      <c r="AC253" s="95"/>
      <c r="AE253" s="96"/>
    </row>
    <row r="254" spans="1:31" ht="12" customHeight="1" x14ac:dyDescent="0.2">
      <c r="S254" s="107"/>
      <c r="T254" s="107"/>
      <c r="U254" s="95"/>
      <c r="V254" s="95"/>
      <c r="W254" s="95"/>
      <c r="X254" s="95"/>
      <c r="Y254" s="95"/>
      <c r="Z254" s="95"/>
      <c r="AA254" s="95"/>
      <c r="AB254" s="95"/>
      <c r="AC254" s="95"/>
      <c r="AD254" s="108"/>
      <c r="AE254" s="96"/>
    </row>
    <row r="255" spans="1:31" ht="12" customHeight="1" x14ac:dyDescent="0.2">
      <c r="S255" s="107"/>
      <c r="T255" s="107"/>
      <c r="U255" s="95"/>
      <c r="V255" s="95"/>
      <c r="W255" s="95"/>
      <c r="X255" s="95"/>
      <c r="Y255" s="95"/>
      <c r="Z255" s="95"/>
      <c r="AA255" s="95"/>
      <c r="AB255" s="95"/>
      <c r="AC255" s="95"/>
      <c r="AD255" s="108"/>
      <c r="AE255" s="96"/>
    </row>
    <row r="256" spans="1:31" ht="12" customHeight="1" x14ac:dyDescent="0.2">
      <c r="S256" s="107"/>
      <c r="T256" s="107"/>
      <c r="U256" s="95"/>
      <c r="V256" s="95"/>
      <c r="W256" s="95"/>
      <c r="X256" s="95"/>
      <c r="Y256" s="95"/>
      <c r="Z256" s="95"/>
      <c r="AA256" s="95"/>
      <c r="AB256" s="95"/>
      <c r="AC256" s="95"/>
      <c r="AD256" s="108"/>
      <c r="AE256" s="96"/>
    </row>
    <row r="257" spans="19:31" ht="12" customHeight="1" x14ac:dyDescent="0.2">
      <c r="S257" s="107"/>
      <c r="T257" s="107"/>
      <c r="U257" s="95"/>
      <c r="V257" s="95"/>
      <c r="W257" s="95"/>
      <c r="X257" s="95"/>
      <c r="Y257" s="95"/>
      <c r="Z257" s="95"/>
      <c r="AA257" s="95"/>
      <c r="AB257" s="95"/>
      <c r="AC257" s="95"/>
      <c r="AE257" s="96"/>
    </row>
    <row r="258" spans="19:31" ht="12" customHeight="1" x14ac:dyDescent="0.2">
      <c r="S258" s="107"/>
      <c r="T258" s="107"/>
      <c r="U258" s="95"/>
      <c r="V258" s="95"/>
      <c r="W258" s="95"/>
      <c r="X258" s="95"/>
      <c r="Y258" s="95"/>
      <c r="Z258" s="95"/>
      <c r="AA258" s="95"/>
      <c r="AB258" s="95"/>
      <c r="AC258" s="95"/>
      <c r="AD258" s="108"/>
      <c r="AE258" s="96"/>
    </row>
    <row r="259" spans="19:31" ht="12" customHeight="1" x14ac:dyDescent="0.2">
      <c r="S259" s="107"/>
      <c r="T259" s="107"/>
      <c r="U259" s="95"/>
      <c r="V259" s="95"/>
      <c r="W259" s="95"/>
      <c r="X259" s="95"/>
      <c r="Y259" s="95"/>
      <c r="Z259" s="95"/>
      <c r="AA259" s="95"/>
      <c r="AB259" s="95"/>
      <c r="AC259" s="95"/>
      <c r="AD259" s="108"/>
      <c r="AE259" s="96"/>
    </row>
    <row r="260" spans="19:31" ht="12" customHeight="1" x14ac:dyDescent="0.2">
      <c r="S260" s="107"/>
      <c r="T260" s="107"/>
      <c r="U260" s="95"/>
      <c r="V260" s="95"/>
      <c r="W260" s="95"/>
      <c r="X260" s="95"/>
      <c r="Y260" s="95"/>
      <c r="Z260" s="95"/>
      <c r="AA260" s="95"/>
      <c r="AB260" s="95"/>
      <c r="AC260" s="95"/>
      <c r="AD260" s="108"/>
      <c r="AE260" s="96"/>
    </row>
    <row r="261" spans="19:31" ht="12" customHeight="1" x14ac:dyDescent="0.2">
      <c r="S261" s="107"/>
      <c r="T261" s="107"/>
      <c r="U261" s="95"/>
      <c r="V261" s="95"/>
      <c r="W261" s="95"/>
      <c r="X261" s="95"/>
      <c r="Y261" s="95"/>
      <c r="Z261" s="95"/>
      <c r="AA261" s="95"/>
      <c r="AB261" s="95"/>
      <c r="AC261" s="95"/>
      <c r="AD261" s="108"/>
      <c r="AE261" s="96"/>
    </row>
    <row r="262" spans="19:31" ht="12" customHeight="1" x14ac:dyDescent="0.2">
      <c r="S262" s="107"/>
      <c r="T262" s="107"/>
      <c r="U262" s="95"/>
      <c r="V262" s="95"/>
      <c r="W262" s="95"/>
      <c r="X262" s="95"/>
      <c r="Y262" s="95"/>
      <c r="Z262" s="95"/>
      <c r="AA262" s="95"/>
      <c r="AB262" s="95"/>
      <c r="AC262" s="95"/>
      <c r="AE262" s="96"/>
    </row>
    <row r="263" spans="19:31" ht="12" customHeight="1" x14ac:dyDescent="0.2">
      <c r="S263" s="107"/>
      <c r="T263" s="107"/>
      <c r="U263" s="95"/>
      <c r="V263" s="95"/>
      <c r="W263" s="95"/>
      <c r="X263" s="95"/>
      <c r="Y263" s="95"/>
      <c r="Z263" s="95"/>
      <c r="AA263" s="95"/>
      <c r="AB263" s="95"/>
      <c r="AC263" s="95"/>
      <c r="AD263" s="108"/>
      <c r="AE263" s="96"/>
    </row>
    <row r="264" spans="19:31" ht="12" customHeight="1" x14ac:dyDescent="0.2">
      <c r="S264" s="107"/>
      <c r="T264" s="107"/>
      <c r="U264" s="95"/>
      <c r="V264" s="95"/>
      <c r="W264" s="95"/>
      <c r="X264" s="95"/>
      <c r="Y264" s="95"/>
      <c r="Z264" s="95"/>
      <c r="AA264" s="95"/>
      <c r="AB264" s="95"/>
      <c r="AC264" s="95"/>
      <c r="AD264" s="108"/>
      <c r="AE264" s="96"/>
    </row>
    <row r="265" spans="19:31" ht="12" customHeight="1" x14ac:dyDescent="0.2">
      <c r="S265" s="107"/>
      <c r="T265" s="107"/>
      <c r="U265" s="95"/>
      <c r="V265" s="95"/>
      <c r="W265" s="95"/>
      <c r="X265" s="95"/>
      <c r="Y265" s="95"/>
      <c r="Z265" s="95"/>
      <c r="AA265" s="95"/>
      <c r="AB265" s="95"/>
      <c r="AC265" s="95"/>
      <c r="AD265" s="108"/>
      <c r="AE265" s="96"/>
    </row>
    <row r="266" spans="19:31" ht="12" customHeight="1" x14ac:dyDescent="0.2">
      <c r="S266" s="107"/>
      <c r="T266" s="107"/>
      <c r="U266" s="95"/>
      <c r="V266" s="95"/>
      <c r="W266" s="95"/>
      <c r="X266" s="95"/>
      <c r="Y266" s="95"/>
      <c r="Z266" s="95"/>
      <c r="AA266" s="95"/>
      <c r="AB266" s="95"/>
      <c r="AC266" s="95"/>
      <c r="AD266" s="108"/>
      <c r="AE266" s="96"/>
    </row>
    <row r="267" spans="19:31" ht="12" customHeight="1" x14ac:dyDescent="0.2">
      <c r="S267" s="107"/>
      <c r="T267" s="107"/>
      <c r="U267" s="95"/>
      <c r="V267" s="95"/>
      <c r="W267" s="95"/>
      <c r="X267" s="95"/>
      <c r="Y267" s="95"/>
      <c r="Z267" s="95"/>
      <c r="AA267" s="95"/>
      <c r="AB267" s="95"/>
      <c r="AC267" s="95"/>
      <c r="AE267" s="96"/>
    </row>
    <row r="268" spans="19:31" ht="12" customHeight="1" x14ac:dyDescent="0.2">
      <c r="S268" s="107"/>
      <c r="T268" s="107"/>
      <c r="U268" s="95"/>
      <c r="V268" s="95"/>
      <c r="W268" s="95"/>
      <c r="X268" s="95"/>
      <c r="Y268" s="95"/>
      <c r="Z268" s="95"/>
      <c r="AA268" s="95"/>
      <c r="AB268" s="95"/>
      <c r="AC268" s="95"/>
      <c r="AD268" s="108"/>
      <c r="AE268" s="96"/>
    </row>
    <row r="269" spans="19:31" ht="12" customHeight="1" x14ac:dyDescent="0.2">
      <c r="S269" s="107"/>
      <c r="T269" s="107"/>
      <c r="U269" s="95"/>
      <c r="V269" s="95"/>
      <c r="W269" s="95"/>
      <c r="X269" s="95"/>
      <c r="Y269" s="95"/>
      <c r="Z269" s="95"/>
      <c r="AA269" s="95"/>
      <c r="AB269" s="95"/>
      <c r="AC269" s="95"/>
      <c r="AD269" s="108"/>
      <c r="AE269" s="96"/>
    </row>
    <row r="270" spans="19:31" ht="12" customHeight="1" x14ac:dyDescent="0.2">
      <c r="S270" s="107"/>
      <c r="T270" s="107"/>
      <c r="U270" s="95"/>
      <c r="V270" s="95"/>
      <c r="W270" s="95"/>
      <c r="X270" s="95"/>
      <c r="Y270" s="95"/>
      <c r="Z270" s="95"/>
      <c r="AA270" s="95"/>
      <c r="AB270" s="95"/>
      <c r="AC270" s="95"/>
      <c r="AD270" s="108"/>
      <c r="AE270" s="96"/>
    </row>
    <row r="271" spans="19:31" ht="12" customHeight="1" x14ac:dyDescent="0.2">
      <c r="S271" s="107"/>
      <c r="T271" s="107"/>
      <c r="U271" s="95"/>
      <c r="V271" s="95"/>
      <c r="W271" s="95"/>
      <c r="X271" s="95"/>
      <c r="Y271" s="95"/>
      <c r="Z271" s="95"/>
      <c r="AA271" s="95"/>
      <c r="AB271" s="95"/>
      <c r="AC271" s="95"/>
      <c r="AD271" s="108"/>
      <c r="AE271" s="96"/>
    </row>
    <row r="272" spans="19:31" ht="12" customHeight="1" x14ac:dyDescent="0.2">
      <c r="S272" s="107"/>
      <c r="T272" s="107"/>
      <c r="U272" s="95"/>
      <c r="V272" s="95"/>
      <c r="W272" s="95"/>
      <c r="X272" s="95"/>
      <c r="Y272" s="95"/>
      <c r="Z272" s="95"/>
      <c r="AA272" s="95"/>
      <c r="AB272" s="95"/>
      <c r="AC272" s="95"/>
      <c r="AE272" s="96"/>
    </row>
    <row r="273" spans="19:31" ht="12" customHeight="1" x14ac:dyDescent="0.2">
      <c r="S273" s="107"/>
      <c r="T273" s="107"/>
      <c r="U273" s="95"/>
      <c r="V273" s="95"/>
      <c r="W273" s="95"/>
      <c r="X273" s="95"/>
      <c r="Y273" s="95"/>
      <c r="Z273" s="95"/>
      <c r="AA273" s="95"/>
      <c r="AB273" s="95"/>
      <c r="AC273" s="95"/>
      <c r="AD273" s="108"/>
      <c r="AE273" s="96"/>
    </row>
    <row r="274" spans="19:31" ht="12" customHeight="1" x14ac:dyDescent="0.2">
      <c r="S274" s="107"/>
      <c r="T274" s="107"/>
      <c r="U274" s="95"/>
      <c r="V274" s="95"/>
      <c r="W274" s="95"/>
      <c r="X274" s="95"/>
      <c r="Y274" s="95"/>
      <c r="Z274" s="95"/>
      <c r="AA274" s="95"/>
      <c r="AB274" s="95"/>
      <c r="AC274" s="95"/>
      <c r="AD274" s="108"/>
      <c r="AE274" s="96"/>
    </row>
    <row r="275" spans="19:31" ht="12" customHeight="1" x14ac:dyDescent="0.2">
      <c r="S275" s="107"/>
      <c r="T275" s="107"/>
      <c r="U275" s="95"/>
      <c r="V275" s="95"/>
      <c r="W275" s="95"/>
      <c r="X275" s="95"/>
      <c r="Y275" s="95"/>
      <c r="Z275" s="95"/>
      <c r="AA275" s="95"/>
      <c r="AB275" s="95"/>
      <c r="AC275" s="95"/>
      <c r="AD275" s="108"/>
      <c r="AE275" s="96"/>
    </row>
    <row r="276" spans="19:31" ht="12" customHeight="1" x14ac:dyDescent="0.2">
      <c r="S276" s="107"/>
      <c r="T276" s="107"/>
      <c r="U276" s="95"/>
      <c r="V276" s="95"/>
      <c r="W276" s="95"/>
      <c r="X276" s="95"/>
      <c r="Y276" s="95"/>
      <c r="Z276" s="95"/>
      <c r="AA276" s="95"/>
      <c r="AB276" s="95"/>
      <c r="AC276" s="95"/>
      <c r="AD276" s="108"/>
      <c r="AE276" s="96"/>
    </row>
    <row r="277" spans="19:31" ht="12" customHeight="1" x14ac:dyDescent="0.2">
      <c r="S277" s="107"/>
      <c r="T277" s="107"/>
      <c r="U277" s="95"/>
      <c r="V277" s="95"/>
      <c r="W277" s="95"/>
      <c r="X277" s="95"/>
      <c r="Y277" s="95"/>
      <c r="Z277" s="95"/>
      <c r="AA277" s="95"/>
      <c r="AB277" s="95"/>
      <c r="AC277" s="95"/>
      <c r="AE277" s="96"/>
    </row>
    <row r="278" spans="19:31" ht="12" customHeight="1" x14ac:dyDescent="0.2">
      <c r="S278" s="107"/>
      <c r="T278" s="107"/>
      <c r="U278" s="95"/>
      <c r="V278" s="95"/>
      <c r="W278" s="95"/>
      <c r="X278" s="95"/>
      <c r="Y278" s="95"/>
      <c r="Z278" s="95"/>
      <c r="AA278" s="95"/>
      <c r="AB278" s="95"/>
      <c r="AC278" s="95"/>
      <c r="AD278" s="108"/>
      <c r="AE278" s="96"/>
    </row>
    <row r="279" spans="19:31" ht="12" customHeight="1" x14ac:dyDescent="0.2">
      <c r="S279" s="107"/>
      <c r="T279" s="107"/>
      <c r="U279" s="95"/>
      <c r="V279" s="95"/>
      <c r="W279" s="95"/>
      <c r="X279" s="95"/>
      <c r="Y279" s="95"/>
      <c r="Z279" s="95"/>
      <c r="AA279" s="95"/>
      <c r="AB279" s="95"/>
      <c r="AC279" s="95"/>
      <c r="AD279" s="108"/>
      <c r="AE279" s="96"/>
    </row>
    <row r="280" spans="19:31" ht="12" customHeight="1" x14ac:dyDescent="0.2">
      <c r="S280" s="107"/>
      <c r="T280" s="107"/>
      <c r="U280" s="95"/>
      <c r="V280" s="95"/>
      <c r="W280" s="95"/>
      <c r="X280" s="95"/>
      <c r="Y280" s="95"/>
      <c r="Z280" s="95"/>
      <c r="AA280" s="95"/>
      <c r="AB280" s="95"/>
      <c r="AC280" s="95"/>
      <c r="AD280" s="108"/>
      <c r="AE280" s="96"/>
    </row>
    <row r="281" spans="19:31" ht="12" customHeight="1" x14ac:dyDescent="0.2">
      <c r="S281" s="107"/>
      <c r="T281" s="107"/>
      <c r="U281" s="95"/>
      <c r="V281" s="95"/>
      <c r="W281" s="95"/>
      <c r="X281" s="95"/>
      <c r="Y281" s="95"/>
      <c r="Z281" s="95"/>
      <c r="AA281" s="95"/>
      <c r="AB281" s="95"/>
      <c r="AC281" s="95"/>
      <c r="AD281" s="108"/>
      <c r="AE281" s="96"/>
    </row>
    <row r="282" spans="19:31" ht="12" customHeight="1" x14ac:dyDescent="0.2">
      <c r="S282" s="107"/>
      <c r="T282" s="107"/>
      <c r="U282" s="95"/>
      <c r="V282" s="95"/>
      <c r="W282" s="95"/>
      <c r="X282" s="95"/>
      <c r="Y282" s="95"/>
      <c r="Z282" s="95"/>
      <c r="AA282" s="95"/>
      <c r="AB282" s="95"/>
      <c r="AC282" s="95"/>
      <c r="AD282" s="108"/>
      <c r="AE282" s="96"/>
    </row>
    <row r="283" spans="19:31" ht="12" customHeight="1" x14ac:dyDescent="0.2">
      <c r="S283" s="107"/>
      <c r="T283" s="107"/>
      <c r="U283" s="95"/>
      <c r="V283" s="95"/>
      <c r="W283" s="95"/>
      <c r="X283" s="95"/>
      <c r="Y283" s="95"/>
      <c r="Z283" s="95"/>
      <c r="AA283" s="95"/>
      <c r="AB283" s="95"/>
      <c r="AC283" s="95"/>
      <c r="AD283" s="108"/>
      <c r="AE283" s="96"/>
    </row>
    <row r="284" spans="19:31" ht="12" customHeight="1" x14ac:dyDescent="0.2">
      <c r="S284" s="107"/>
      <c r="T284" s="107"/>
      <c r="U284" s="95"/>
      <c r="V284" s="95"/>
      <c r="W284" s="95"/>
      <c r="X284" s="95"/>
      <c r="Y284" s="95"/>
      <c r="Z284" s="95"/>
      <c r="AA284" s="95"/>
      <c r="AB284" s="95"/>
      <c r="AC284" s="95"/>
      <c r="AE284" s="96"/>
    </row>
    <row r="285" spans="19:31" ht="12" customHeight="1" x14ac:dyDescent="0.2">
      <c r="S285" s="107"/>
      <c r="T285" s="107"/>
      <c r="U285" s="95"/>
      <c r="V285" s="95"/>
      <c r="W285" s="95"/>
      <c r="X285" s="95"/>
      <c r="Y285" s="95"/>
      <c r="Z285" s="95"/>
      <c r="AA285" s="95"/>
      <c r="AB285" s="95"/>
      <c r="AC285" s="95"/>
      <c r="AD285" s="108"/>
      <c r="AE285" s="96"/>
    </row>
    <row r="286" spans="19:31" ht="12" customHeight="1" x14ac:dyDescent="0.2">
      <c r="S286" s="107"/>
      <c r="T286" s="107"/>
      <c r="U286" s="95"/>
      <c r="V286" s="95"/>
      <c r="W286" s="95"/>
      <c r="X286" s="95"/>
      <c r="Y286" s="95"/>
      <c r="Z286" s="95"/>
      <c r="AA286" s="95"/>
      <c r="AB286" s="95"/>
      <c r="AC286" s="95"/>
      <c r="AD286" s="108"/>
      <c r="AE286" s="96"/>
    </row>
    <row r="287" spans="19:31" ht="12" customHeight="1" x14ac:dyDescent="0.2">
      <c r="S287" s="107"/>
      <c r="T287" s="107"/>
      <c r="U287" s="95"/>
      <c r="V287" s="95"/>
      <c r="W287" s="95"/>
      <c r="X287" s="95"/>
      <c r="Y287" s="95"/>
      <c r="Z287" s="95"/>
      <c r="AA287" s="95"/>
      <c r="AB287" s="95"/>
      <c r="AC287" s="95"/>
      <c r="AD287" s="108"/>
      <c r="AE287" s="96"/>
    </row>
    <row r="288" spans="19:31" ht="12" customHeight="1" x14ac:dyDescent="0.2">
      <c r="S288" s="107"/>
      <c r="T288" s="107"/>
      <c r="U288" s="95"/>
      <c r="V288" s="95"/>
      <c r="W288" s="95"/>
      <c r="X288" s="95"/>
      <c r="Y288" s="95"/>
      <c r="Z288" s="95"/>
      <c r="AA288" s="95"/>
      <c r="AB288" s="95"/>
      <c r="AC288" s="95"/>
      <c r="AE288" s="96"/>
    </row>
    <row r="289" spans="19:31" ht="12" customHeight="1" x14ac:dyDescent="0.2">
      <c r="S289" s="107"/>
      <c r="T289" s="107"/>
      <c r="U289" s="95"/>
      <c r="V289" s="95"/>
      <c r="W289" s="95"/>
      <c r="X289" s="95"/>
      <c r="Y289" s="95"/>
      <c r="Z289" s="95"/>
      <c r="AA289" s="95"/>
      <c r="AB289" s="95"/>
      <c r="AC289" s="95"/>
      <c r="AD289" s="108"/>
      <c r="AE289" s="96"/>
    </row>
    <row r="290" spans="19:31" ht="12" customHeight="1" x14ac:dyDescent="0.2">
      <c r="S290" s="107"/>
      <c r="T290" s="107"/>
      <c r="U290" s="95"/>
      <c r="V290" s="95"/>
      <c r="W290" s="95"/>
      <c r="X290" s="95"/>
      <c r="Y290" s="95"/>
      <c r="Z290" s="95"/>
      <c r="AA290" s="95"/>
      <c r="AB290" s="95"/>
      <c r="AC290" s="95"/>
      <c r="AD290" s="108"/>
      <c r="AE290" s="96"/>
    </row>
    <row r="291" spans="19:31" ht="12" customHeight="1" x14ac:dyDescent="0.2">
      <c r="S291" s="107"/>
      <c r="T291" s="107"/>
      <c r="U291" s="95"/>
      <c r="V291" s="95"/>
      <c r="W291" s="95"/>
      <c r="X291" s="95"/>
      <c r="Y291" s="95"/>
      <c r="Z291" s="95"/>
      <c r="AA291" s="95"/>
      <c r="AB291" s="95"/>
      <c r="AC291" s="95"/>
      <c r="AD291" s="108"/>
      <c r="AE291" s="96"/>
    </row>
    <row r="292" spans="19:31" ht="12" customHeight="1" x14ac:dyDescent="0.2">
      <c r="S292" s="107"/>
      <c r="T292" s="107"/>
      <c r="U292" s="95"/>
      <c r="V292" s="95"/>
      <c r="W292" s="95"/>
      <c r="X292" s="95"/>
      <c r="Y292" s="95"/>
      <c r="Z292" s="95"/>
      <c r="AA292" s="95"/>
      <c r="AB292" s="95"/>
      <c r="AC292" s="95"/>
      <c r="AD292" s="108"/>
      <c r="AE292" s="96"/>
    </row>
    <row r="293" spans="19:31" ht="12" customHeight="1" x14ac:dyDescent="0.2">
      <c r="S293" s="107"/>
      <c r="T293" s="107"/>
      <c r="U293" s="95"/>
      <c r="V293" s="95"/>
      <c r="W293" s="95"/>
      <c r="X293" s="95"/>
      <c r="Y293" s="95"/>
      <c r="Z293" s="95"/>
      <c r="AA293" s="95"/>
      <c r="AB293" s="95"/>
      <c r="AC293" s="95"/>
      <c r="AD293" s="108"/>
      <c r="AE293" s="96"/>
    </row>
    <row r="294" spans="19:31" ht="12" customHeight="1" x14ac:dyDescent="0.2">
      <c r="S294" s="107"/>
      <c r="T294" s="107"/>
      <c r="U294" s="95"/>
      <c r="V294" s="95"/>
      <c r="W294" s="95"/>
      <c r="X294" s="95"/>
      <c r="Y294" s="95"/>
      <c r="Z294" s="95"/>
      <c r="AA294" s="95"/>
      <c r="AB294" s="95"/>
      <c r="AC294" s="95"/>
      <c r="AD294" s="108"/>
      <c r="AE294" s="96"/>
    </row>
    <row r="295" spans="19:31" ht="12" customHeight="1" x14ac:dyDescent="0.2">
      <c r="S295" s="107"/>
      <c r="T295" s="107"/>
      <c r="U295" s="95"/>
      <c r="V295" s="95"/>
      <c r="W295" s="95"/>
      <c r="X295" s="95"/>
      <c r="Y295" s="95"/>
      <c r="Z295" s="95"/>
      <c r="AA295" s="95"/>
      <c r="AB295" s="95"/>
      <c r="AC295" s="95"/>
      <c r="AE295" s="96"/>
    </row>
    <row r="296" spans="19:31" ht="12" customHeight="1" x14ac:dyDescent="0.2">
      <c r="S296" s="107"/>
      <c r="T296" s="107"/>
      <c r="U296" s="95"/>
      <c r="V296" s="95"/>
      <c r="W296" s="95"/>
      <c r="X296" s="95"/>
      <c r="Y296" s="95"/>
      <c r="Z296" s="95"/>
      <c r="AA296" s="95"/>
      <c r="AB296" s="95"/>
      <c r="AC296" s="95"/>
      <c r="AD296" s="108"/>
      <c r="AE296" s="96"/>
    </row>
    <row r="297" spans="19:31" ht="12" customHeight="1" x14ac:dyDescent="0.2">
      <c r="S297" s="107"/>
      <c r="T297" s="107"/>
      <c r="U297" s="95"/>
      <c r="V297" s="95"/>
      <c r="W297" s="95"/>
      <c r="X297" s="95"/>
      <c r="Y297" s="95"/>
      <c r="Z297" s="95"/>
      <c r="AA297" s="95"/>
      <c r="AB297" s="95"/>
      <c r="AC297" s="95"/>
      <c r="AD297" s="108"/>
      <c r="AE297" s="96"/>
    </row>
    <row r="298" spans="19:31" ht="12" customHeight="1" x14ac:dyDescent="0.2">
      <c r="S298" s="107"/>
      <c r="T298" s="107"/>
      <c r="U298" s="95"/>
      <c r="V298" s="95"/>
      <c r="W298" s="95"/>
      <c r="X298" s="95"/>
      <c r="Y298" s="95"/>
      <c r="Z298" s="95"/>
      <c r="AA298" s="95"/>
      <c r="AB298" s="95"/>
      <c r="AC298" s="95"/>
      <c r="AE298" s="96"/>
    </row>
    <row r="299" spans="19:31" ht="12" customHeight="1" x14ac:dyDescent="0.2">
      <c r="S299" s="107"/>
      <c r="T299" s="107"/>
      <c r="U299" s="95"/>
      <c r="V299" s="95"/>
      <c r="W299" s="95"/>
      <c r="X299" s="95"/>
      <c r="Y299" s="95"/>
      <c r="Z299" s="95"/>
      <c r="AA299" s="95"/>
      <c r="AB299" s="95"/>
      <c r="AC299" s="95"/>
      <c r="AD299" s="108"/>
      <c r="AE299" s="96"/>
    </row>
    <row r="300" spans="19:31" ht="12" customHeight="1" x14ac:dyDescent="0.2">
      <c r="S300" s="107"/>
      <c r="T300" s="107"/>
      <c r="U300" s="95"/>
      <c r="V300" s="95"/>
      <c r="W300" s="95"/>
      <c r="X300" s="95"/>
      <c r="Y300" s="95"/>
      <c r="Z300" s="95"/>
      <c r="AA300" s="95"/>
      <c r="AB300" s="95"/>
      <c r="AC300" s="95"/>
      <c r="AD300" s="108"/>
      <c r="AE300" s="96"/>
    </row>
    <row r="301" spans="19:31" ht="12" customHeight="1" x14ac:dyDescent="0.2">
      <c r="S301" s="107"/>
      <c r="T301" s="107"/>
      <c r="U301" s="95"/>
      <c r="V301" s="95"/>
      <c r="W301" s="95"/>
      <c r="X301" s="95"/>
      <c r="Y301" s="95"/>
      <c r="Z301" s="95"/>
      <c r="AA301" s="95"/>
      <c r="AB301" s="95"/>
      <c r="AC301" s="95"/>
      <c r="AD301" s="108"/>
      <c r="AE301" s="96"/>
    </row>
    <row r="302" spans="19:31" ht="12" customHeight="1" x14ac:dyDescent="0.2">
      <c r="S302" s="107"/>
      <c r="T302" s="107"/>
      <c r="U302" s="95"/>
      <c r="V302" s="95"/>
      <c r="W302" s="95"/>
      <c r="X302" s="95"/>
      <c r="Y302" s="95"/>
      <c r="Z302" s="95"/>
      <c r="AA302" s="95"/>
      <c r="AB302" s="95"/>
      <c r="AC302" s="95"/>
      <c r="AE302" s="96"/>
    </row>
    <row r="303" spans="19:31" ht="12" customHeight="1" x14ac:dyDescent="0.2">
      <c r="S303" s="107"/>
      <c r="T303" s="107"/>
      <c r="U303" s="95"/>
      <c r="V303" s="95"/>
      <c r="W303" s="95"/>
      <c r="X303" s="95"/>
      <c r="Y303" s="95"/>
      <c r="Z303" s="95"/>
      <c r="AA303" s="95"/>
      <c r="AB303" s="95"/>
      <c r="AC303" s="95"/>
      <c r="AD303" s="108"/>
      <c r="AE303" s="96"/>
    </row>
    <row r="304" spans="19:31" ht="12" customHeight="1" x14ac:dyDescent="0.2">
      <c r="S304" s="107"/>
      <c r="T304" s="107"/>
      <c r="U304" s="95"/>
      <c r="V304" s="95"/>
      <c r="W304" s="95"/>
      <c r="X304" s="95"/>
      <c r="Y304" s="95"/>
      <c r="Z304" s="95"/>
      <c r="AA304" s="95"/>
      <c r="AB304" s="95"/>
      <c r="AC304" s="95"/>
      <c r="AD304" s="108"/>
      <c r="AE304" s="96"/>
    </row>
    <row r="305" spans="19:31" ht="12" customHeight="1" x14ac:dyDescent="0.2">
      <c r="S305" s="107"/>
      <c r="T305" s="107"/>
      <c r="U305" s="95"/>
      <c r="V305" s="95"/>
      <c r="W305" s="95"/>
      <c r="X305" s="95"/>
      <c r="Y305" s="95"/>
      <c r="Z305" s="95"/>
      <c r="AA305" s="95"/>
      <c r="AB305" s="95"/>
      <c r="AC305" s="95"/>
      <c r="AD305" s="108"/>
      <c r="AE305" s="96"/>
    </row>
    <row r="306" spans="19:31" ht="12" customHeight="1" x14ac:dyDescent="0.2">
      <c r="U306" s="95"/>
      <c r="V306" s="95"/>
      <c r="W306" s="95"/>
      <c r="X306" s="95"/>
      <c r="Y306" s="95"/>
      <c r="Z306" s="95"/>
      <c r="AA306" s="95"/>
      <c r="AB306" s="95"/>
      <c r="AC306" s="95"/>
      <c r="AE306" s="96"/>
    </row>
    <row r="307" spans="19:31" ht="12" customHeight="1" x14ac:dyDescent="0.2">
      <c r="S307" s="107"/>
      <c r="T307" s="107"/>
      <c r="U307" s="95"/>
      <c r="V307" s="95"/>
      <c r="W307" s="95"/>
      <c r="X307" s="95"/>
      <c r="Y307" s="95"/>
      <c r="Z307" s="95"/>
      <c r="AA307" s="95"/>
      <c r="AB307" s="95"/>
      <c r="AC307" s="95"/>
      <c r="AD307" s="108"/>
      <c r="AE307" s="96"/>
    </row>
    <row r="308" spans="19:31" ht="12" customHeight="1" x14ac:dyDescent="0.2">
      <c r="S308" s="107"/>
      <c r="T308" s="107"/>
      <c r="U308" s="95"/>
      <c r="V308" s="95"/>
      <c r="W308" s="95"/>
      <c r="X308" s="95"/>
      <c r="Y308" s="95"/>
      <c r="Z308" s="95"/>
      <c r="AA308" s="95"/>
      <c r="AB308" s="95"/>
      <c r="AC308" s="95"/>
      <c r="AD308" s="108"/>
      <c r="AE308" s="96"/>
    </row>
    <row r="309" spans="19:31" ht="12" customHeight="1" x14ac:dyDescent="0.2">
      <c r="S309" s="107"/>
      <c r="T309" s="107"/>
      <c r="U309" s="95"/>
      <c r="V309" s="95"/>
      <c r="W309" s="95"/>
      <c r="X309" s="95"/>
      <c r="Y309" s="95"/>
      <c r="Z309" s="95"/>
      <c r="AA309" s="95"/>
      <c r="AB309" s="95"/>
      <c r="AC309" s="95"/>
      <c r="AD309" s="108"/>
      <c r="AE309" s="96"/>
    </row>
    <row r="310" spans="19:31" ht="12" customHeight="1" x14ac:dyDescent="0.2">
      <c r="S310" s="107"/>
      <c r="T310" s="107"/>
      <c r="U310" s="95"/>
      <c r="V310" s="95"/>
      <c r="W310" s="95"/>
      <c r="X310" s="95"/>
      <c r="Y310" s="95"/>
      <c r="Z310" s="95"/>
      <c r="AA310" s="95"/>
      <c r="AB310" s="95"/>
      <c r="AC310" s="95"/>
      <c r="AD310" s="108"/>
      <c r="AE310" s="96"/>
    </row>
    <row r="311" spans="19:31" ht="12" customHeight="1" x14ac:dyDescent="0.2">
      <c r="S311" s="107"/>
      <c r="T311" s="107"/>
      <c r="U311" s="95"/>
      <c r="V311" s="95"/>
      <c r="W311" s="95"/>
      <c r="X311" s="95"/>
      <c r="Y311" s="95"/>
      <c r="Z311" s="95"/>
      <c r="AA311" s="95"/>
      <c r="AB311" s="95"/>
      <c r="AC311" s="95"/>
      <c r="AD311" s="108"/>
      <c r="AE311" s="96"/>
    </row>
    <row r="312" spans="19:31" ht="12" customHeight="1" x14ac:dyDescent="0.2">
      <c r="S312" s="107"/>
      <c r="T312" s="107"/>
      <c r="U312" s="95"/>
      <c r="V312" s="95"/>
      <c r="W312" s="95"/>
      <c r="X312" s="95"/>
      <c r="Y312" s="95"/>
      <c r="Z312" s="95"/>
      <c r="AA312" s="95"/>
      <c r="AB312" s="95"/>
      <c r="AC312" s="95"/>
      <c r="AD312" s="108"/>
      <c r="AE312" s="96"/>
    </row>
    <row r="313" spans="19:31" ht="12" customHeight="1" x14ac:dyDescent="0.2">
      <c r="U313" s="95"/>
      <c r="V313" s="95"/>
      <c r="W313" s="95"/>
      <c r="X313" s="95"/>
      <c r="Y313" s="95"/>
      <c r="Z313" s="95"/>
      <c r="AA313" s="95"/>
      <c r="AB313" s="95"/>
      <c r="AC313" s="95"/>
      <c r="AE313" s="96"/>
    </row>
    <row r="314" spans="19:31" ht="12" customHeight="1" x14ac:dyDescent="0.2">
      <c r="S314" s="107"/>
      <c r="T314" s="107"/>
      <c r="U314" s="95"/>
      <c r="V314" s="95"/>
      <c r="W314" s="95"/>
      <c r="X314" s="95"/>
      <c r="Y314" s="95"/>
      <c r="Z314" s="95"/>
      <c r="AA314" s="95"/>
      <c r="AB314" s="95"/>
      <c r="AC314" s="95"/>
      <c r="AD314" s="108"/>
      <c r="AE314" s="96"/>
    </row>
    <row r="315" spans="19:31" ht="12" customHeight="1" x14ac:dyDescent="0.2">
      <c r="S315" s="107"/>
      <c r="T315" s="107"/>
      <c r="U315" s="95"/>
      <c r="V315" s="95"/>
      <c r="W315" s="95"/>
      <c r="X315" s="95"/>
      <c r="Y315" s="95"/>
      <c r="Z315" s="95"/>
      <c r="AA315" s="95"/>
      <c r="AB315" s="95"/>
      <c r="AC315" s="95"/>
      <c r="AD315" s="108"/>
      <c r="AE315" s="96"/>
    </row>
    <row r="316" spans="19:31" ht="12" customHeight="1" x14ac:dyDescent="0.2">
      <c r="S316" s="107"/>
      <c r="T316" s="107"/>
      <c r="U316" s="95"/>
      <c r="V316" s="95"/>
      <c r="W316" s="95"/>
      <c r="X316" s="95"/>
      <c r="Y316" s="95"/>
      <c r="Z316" s="95"/>
      <c r="AA316" s="95"/>
      <c r="AB316" s="95"/>
      <c r="AC316" s="95"/>
      <c r="AD316" s="108"/>
      <c r="AE316" s="96"/>
    </row>
    <row r="317" spans="19:31" ht="12" customHeight="1" x14ac:dyDescent="0.2">
      <c r="S317" s="107"/>
      <c r="T317" s="107"/>
      <c r="U317" s="95"/>
      <c r="V317" s="95"/>
      <c r="W317" s="95"/>
      <c r="X317" s="95"/>
      <c r="Y317" s="95"/>
      <c r="Z317" s="95"/>
      <c r="AA317" s="95"/>
      <c r="AB317" s="95"/>
      <c r="AC317" s="95"/>
      <c r="AE317" s="96"/>
    </row>
    <row r="318" spans="19:31" ht="12" customHeight="1" x14ac:dyDescent="0.2">
      <c r="S318" s="107"/>
      <c r="T318" s="107"/>
      <c r="U318" s="95"/>
      <c r="V318" s="95"/>
      <c r="W318" s="95"/>
      <c r="X318" s="95"/>
      <c r="Y318" s="95"/>
      <c r="Z318" s="95"/>
      <c r="AA318" s="95"/>
      <c r="AB318" s="95"/>
      <c r="AC318" s="95"/>
      <c r="AD318" s="108"/>
      <c r="AE318" s="96"/>
    </row>
    <row r="319" spans="19:31" ht="12" customHeight="1" x14ac:dyDescent="0.2">
      <c r="S319" s="107"/>
      <c r="T319" s="107"/>
      <c r="U319" s="95"/>
      <c r="V319" s="95"/>
      <c r="W319" s="95"/>
      <c r="X319" s="95"/>
      <c r="Y319" s="95"/>
      <c r="Z319" s="95"/>
      <c r="AA319" s="95"/>
      <c r="AB319" s="95"/>
      <c r="AC319" s="95"/>
      <c r="AD319" s="108"/>
      <c r="AE319" s="96"/>
    </row>
    <row r="320" spans="19:31" ht="12" customHeight="1" x14ac:dyDescent="0.2">
      <c r="S320" s="107"/>
      <c r="T320" s="107"/>
      <c r="U320" s="95"/>
      <c r="V320" s="95"/>
      <c r="W320" s="95"/>
      <c r="X320" s="95"/>
      <c r="Y320" s="95"/>
      <c r="Z320" s="95"/>
      <c r="AA320" s="95"/>
      <c r="AB320" s="95"/>
      <c r="AC320" s="95"/>
      <c r="AE320" s="96"/>
    </row>
    <row r="321" spans="19:31" ht="12" customHeight="1" x14ac:dyDescent="0.2">
      <c r="S321" s="107"/>
      <c r="T321" s="107"/>
      <c r="U321" s="95"/>
      <c r="V321" s="95"/>
      <c r="W321" s="95"/>
      <c r="X321" s="95"/>
      <c r="Y321" s="95"/>
      <c r="Z321" s="95"/>
      <c r="AA321" s="95"/>
      <c r="AB321" s="95"/>
      <c r="AC321" s="95"/>
      <c r="AD321" s="108"/>
      <c r="AE321" s="96"/>
    </row>
    <row r="322" spans="19:31" ht="12" customHeight="1" x14ac:dyDescent="0.2">
      <c r="S322" s="107"/>
      <c r="T322" s="107"/>
      <c r="U322" s="95"/>
      <c r="V322" s="95"/>
      <c r="W322" s="95"/>
      <c r="X322" s="95"/>
      <c r="Y322" s="95"/>
      <c r="Z322" s="95"/>
      <c r="AA322" s="95"/>
      <c r="AB322" s="95"/>
      <c r="AC322" s="95"/>
      <c r="AD322" s="108"/>
      <c r="AE322" s="96"/>
    </row>
    <row r="323" spans="19:31" ht="12" customHeight="1" x14ac:dyDescent="0.2">
      <c r="S323" s="107"/>
      <c r="T323" s="107"/>
      <c r="U323" s="95"/>
      <c r="V323" s="95"/>
      <c r="W323" s="95"/>
      <c r="X323" s="95"/>
      <c r="Y323" s="95"/>
      <c r="Z323" s="95"/>
      <c r="AA323" s="95"/>
      <c r="AB323" s="95"/>
      <c r="AC323" s="95"/>
      <c r="AD323" s="108"/>
      <c r="AE323" s="96"/>
    </row>
    <row r="324" spans="19:31" ht="12" customHeight="1" x14ac:dyDescent="0.2">
      <c r="S324" s="107"/>
      <c r="T324" s="107"/>
      <c r="U324" s="95"/>
      <c r="V324" s="95"/>
      <c r="W324" s="95"/>
      <c r="X324" s="95"/>
      <c r="Y324" s="95"/>
      <c r="Z324" s="95"/>
      <c r="AA324" s="95"/>
      <c r="AB324" s="95"/>
      <c r="AC324" s="95"/>
      <c r="AE324" s="96"/>
    </row>
    <row r="325" spans="19:31" ht="12" customHeight="1" x14ac:dyDescent="0.2">
      <c r="S325" s="107"/>
      <c r="T325" s="107"/>
      <c r="U325" s="95"/>
      <c r="V325" s="95"/>
      <c r="W325" s="95"/>
      <c r="X325" s="95"/>
      <c r="Y325" s="95"/>
      <c r="Z325" s="95"/>
      <c r="AA325" s="95"/>
      <c r="AB325" s="95"/>
      <c r="AC325" s="95"/>
      <c r="AD325" s="108"/>
      <c r="AE325" s="96"/>
    </row>
    <row r="326" spans="19:31" ht="12" customHeight="1" x14ac:dyDescent="0.2">
      <c r="S326" s="107"/>
      <c r="T326" s="107"/>
      <c r="U326" s="95"/>
      <c r="V326" s="95"/>
      <c r="W326" s="95"/>
      <c r="X326" s="95"/>
      <c r="Y326" s="95"/>
      <c r="Z326" s="95"/>
      <c r="AA326" s="95"/>
      <c r="AB326" s="95"/>
      <c r="AC326" s="95"/>
      <c r="AD326" s="108"/>
      <c r="AE326" s="96"/>
    </row>
    <row r="327" spans="19:31" ht="12" customHeight="1" x14ac:dyDescent="0.2">
      <c r="S327" s="107"/>
      <c r="T327" s="107"/>
      <c r="U327" s="95"/>
      <c r="V327" s="95"/>
      <c r="W327" s="95"/>
      <c r="X327" s="95"/>
      <c r="Y327" s="95"/>
      <c r="Z327" s="95"/>
      <c r="AA327" s="95"/>
      <c r="AB327" s="95"/>
      <c r="AC327" s="95"/>
      <c r="AD327" s="108"/>
      <c r="AE327" s="96"/>
    </row>
    <row r="328" spans="19:31" ht="12" customHeight="1" x14ac:dyDescent="0.2">
      <c r="S328" s="107"/>
      <c r="T328" s="107"/>
      <c r="U328" s="95"/>
      <c r="V328" s="95"/>
      <c r="W328" s="95"/>
      <c r="X328" s="95"/>
      <c r="Y328" s="95"/>
      <c r="Z328" s="95"/>
      <c r="AA328" s="95"/>
      <c r="AB328" s="95"/>
      <c r="AC328" s="95"/>
      <c r="AD328" s="108"/>
      <c r="AE328" s="96"/>
    </row>
    <row r="329" spans="19:31" ht="12" customHeight="1" x14ac:dyDescent="0.2">
      <c r="S329" s="107"/>
      <c r="T329" s="107"/>
      <c r="U329" s="95"/>
      <c r="V329" s="95"/>
      <c r="W329" s="95"/>
      <c r="X329" s="95"/>
      <c r="Y329" s="95"/>
      <c r="Z329" s="95"/>
      <c r="AA329" s="95"/>
      <c r="AB329" s="95"/>
      <c r="AC329" s="95"/>
      <c r="AD329" s="108"/>
      <c r="AE329" s="96"/>
    </row>
    <row r="330" spans="19:31" ht="12" customHeight="1" x14ac:dyDescent="0.2">
      <c r="S330" s="107"/>
      <c r="T330" s="107"/>
      <c r="U330" s="95"/>
      <c r="V330" s="95"/>
      <c r="W330" s="95"/>
      <c r="X330" s="95"/>
      <c r="Y330" s="95"/>
      <c r="Z330" s="95"/>
      <c r="AA330" s="95"/>
      <c r="AB330" s="95"/>
      <c r="AC330" s="95"/>
      <c r="AD330" s="108"/>
      <c r="AE330" s="96"/>
    </row>
    <row r="331" spans="19:31" ht="12" customHeight="1" x14ac:dyDescent="0.2">
      <c r="S331" s="107"/>
      <c r="T331" s="107"/>
      <c r="U331" s="95"/>
      <c r="V331" s="95"/>
      <c r="W331" s="95"/>
      <c r="X331" s="95"/>
      <c r="Y331" s="95"/>
      <c r="Z331" s="95"/>
      <c r="AA331" s="95"/>
      <c r="AB331" s="95"/>
      <c r="AC331" s="95"/>
      <c r="AE331" s="96"/>
    </row>
    <row r="332" spans="19:31" ht="12" customHeight="1" x14ac:dyDescent="0.2">
      <c r="S332" s="107"/>
      <c r="T332" s="107"/>
      <c r="U332" s="95"/>
      <c r="V332" s="95"/>
      <c r="W332" s="95"/>
      <c r="X332" s="95"/>
      <c r="Y332" s="95"/>
      <c r="Z332" s="95"/>
      <c r="AA332" s="95"/>
      <c r="AB332" s="95"/>
      <c r="AC332" s="95"/>
      <c r="AD332" s="108"/>
      <c r="AE332" s="96"/>
    </row>
    <row r="333" spans="19:31" ht="12" customHeight="1" x14ac:dyDescent="0.2">
      <c r="S333" s="107"/>
      <c r="T333" s="107"/>
      <c r="U333" s="95"/>
      <c r="V333" s="95"/>
      <c r="W333" s="95"/>
      <c r="X333" s="95"/>
      <c r="Y333" s="95"/>
      <c r="Z333" s="95"/>
      <c r="AA333" s="95"/>
      <c r="AB333" s="95"/>
      <c r="AC333" s="95"/>
      <c r="AD333" s="108"/>
      <c r="AE333" s="96"/>
    </row>
    <row r="334" spans="19:31" ht="12" customHeight="1" x14ac:dyDescent="0.2">
      <c r="S334" s="107"/>
      <c r="T334" s="107"/>
      <c r="U334" s="95"/>
      <c r="V334" s="95"/>
      <c r="W334" s="95"/>
      <c r="X334" s="95"/>
      <c r="Y334" s="95"/>
      <c r="Z334" s="95"/>
      <c r="AA334" s="95"/>
      <c r="AB334" s="95"/>
      <c r="AC334" s="95"/>
      <c r="AE334" s="96"/>
    </row>
    <row r="335" spans="19:31" ht="12" customHeight="1" x14ac:dyDescent="0.2">
      <c r="S335" s="107"/>
      <c r="T335" s="107"/>
      <c r="U335" s="95"/>
      <c r="V335" s="95"/>
      <c r="W335" s="95"/>
      <c r="X335" s="95"/>
      <c r="Y335" s="95"/>
      <c r="Z335" s="95"/>
      <c r="AA335" s="95"/>
      <c r="AB335" s="95"/>
      <c r="AC335" s="95"/>
      <c r="AD335" s="108"/>
      <c r="AE335" s="96"/>
    </row>
    <row r="336" spans="19:31" ht="12" customHeight="1" x14ac:dyDescent="0.2">
      <c r="S336" s="107"/>
      <c r="T336" s="107"/>
      <c r="U336" s="95"/>
      <c r="V336" s="95"/>
      <c r="W336" s="95"/>
      <c r="X336" s="95"/>
      <c r="Y336" s="95"/>
      <c r="Z336" s="95"/>
      <c r="AA336" s="95"/>
      <c r="AB336" s="95"/>
      <c r="AC336" s="95"/>
      <c r="AD336" s="108"/>
      <c r="AE336" s="96"/>
    </row>
    <row r="337" spans="19:31" ht="12" customHeight="1" x14ac:dyDescent="0.2">
      <c r="S337" s="107"/>
      <c r="T337" s="107"/>
      <c r="U337" s="95"/>
      <c r="V337" s="95"/>
      <c r="W337" s="95"/>
      <c r="X337" s="95"/>
      <c r="Y337" s="95"/>
      <c r="Z337" s="95"/>
      <c r="AA337" s="95"/>
      <c r="AB337" s="95"/>
      <c r="AC337" s="95"/>
      <c r="AD337" s="108"/>
      <c r="AE337" s="96"/>
    </row>
    <row r="338" spans="19:31" ht="12" customHeight="1" x14ac:dyDescent="0.2">
      <c r="S338" s="107"/>
      <c r="T338" s="107"/>
      <c r="U338" s="95"/>
      <c r="V338" s="95"/>
      <c r="W338" s="95"/>
      <c r="X338" s="95"/>
      <c r="Y338" s="95"/>
      <c r="Z338" s="95"/>
      <c r="AA338" s="95"/>
      <c r="AB338" s="95"/>
      <c r="AC338" s="95"/>
      <c r="AD338" s="108"/>
      <c r="AE338" s="96"/>
    </row>
    <row r="339" spans="19:31" ht="12" customHeight="1" x14ac:dyDescent="0.2">
      <c r="S339" s="107"/>
      <c r="T339" s="107"/>
      <c r="U339" s="95"/>
      <c r="V339" s="95"/>
      <c r="W339" s="95"/>
      <c r="X339" s="95"/>
      <c r="Y339" s="95"/>
      <c r="Z339" s="95"/>
      <c r="AA339" s="95"/>
      <c r="AB339" s="95"/>
      <c r="AC339" s="95"/>
      <c r="AD339" s="108"/>
      <c r="AE339" s="96"/>
    </row>
    <row r="340" spans="19:31" ht="12" customHeight="1" x14ac:dyDescent="0.2">
      <c r="S340" s="107"/>
      <c r="T340" s="107"/>
      <c r="U340" s="95"/>
      <c r="V340" s="95"/>
      <c r="W340" s="95"/>
      <c r="X340" s="95"/>
      <c r="Y340" s="95"/>
      <c r="Z340" s="95"/>
      <c r="AA340" s="95"/>
      <c r="AB340" s="95"/>
      <c r="AC340" s="95"/>
      <c r="AD340" s="108"/>
      <c r="AE340" s="96"/>
    </row>
    <row r="341" spans="19:31" ht="12" customHeight="1" x14ac:dyDescent="0.2">
      <c r="S341" s="107"/>
      <c r="T341" s="107"/>
      <c r="U341" s="95"/>
      <c r="V341" s="95"/>
      <c r="W341" s="95"/>
      <c r="X341" s="95"/>
      <c r="Y341" s="95"/>
      <c r="Z341" s="95"/>
      <c r="AA341" s="95"/>
      <c r="AB341" s="95"/>
      <c r="AC341" s="95"/>
      <c r="AE341" s="96"/>
    </row>
    <row r="342" spans="19:31" ht="12" customHeight="1" x14ac:dyDescent="0.2">
      <c r="S342" s="107"/>
      <c r="T342" s="107"/>
      <c r="U342" s="95"/>
      <c r="V342" s="95"/>
      <c r="W342" s="95"/>
      <c r="X342" s="95"/>
      <c r="Y342" s="95"/>
      <c r="Z342" s="95"/>
      <c r="AA342" s="95"/>
      <c r="AB342" s="95"/>
      <c r="AC342" s="95"/>
      <c r="AD342" s="108"/>
      <c r="AE342" s="96"/>
    </row>
    <row r="343" spans="19:31" ht="12" customHeight="1" x14ac:dyDescent="0.2">
      <c r="S343" s="107"/>
      <c r="T343" s="107"/>
      <c r="U343" s="95"/>
      <c r="V343" s="95"/>
      <c r="W343" s="95"/>
      <c r="X343" s="95"/>
      <c r="Y343" s="95"/>
      <c r="Z343" s="95"/>
      <c r="AA343" s="95"/>
      <c r="AB343" s="95"/>
      <c r="AC343" s="95"/>
      <c r="AD343" s="108"/>
      <c r="AE343" s="96"/>
    </row>
    <row r="344" spans="19:31" ht="12" customHeight="1" x14ac:dyDescent="0.2">
      <c r="S344" s="107"/>
      <c r="T344" s="107"/>
      <c r="U344" s="95"/>
      <c r="V344" s="95"/>
      <c r="W344" s="95"/>
      <c r="X344" s="95"/>
      <c r="Y344" s="95"/>
      <c r="Z344" s="95"/>
      <c r="AA344" s="95"/>
      <c r="AB344" s="95"/>
      <c r="AC344" s="95"/>
      <c r="AD344" s="108"/>
      <c r="AE344" s="96"/>
    </row>
    <row r="345" spans="19:31" ht="12" customHeight="1" x14ac:dyDescent="0.2">
      <c r="S345" s="107"/>
      <c r="T345" s="107"/>
      <c r="U345" s="95"/>
      <c r="V345" s="95"/>
      <c r="W345" s="95"/>
      <c r="X345" s="95"/>
      <c r="Y345" s="95"/>
      <c r="Z345" s="95"/>
      <c r="AA345" s="95"/>
      <c r="AB345" s="95"/>
      <c r="AC345" s="95"/>
      <c r="AD345" s="108"/>
      <c r="AE345" s="96"/>
    </row>
    <row r="346" spans="19:31" ht="12" customHeight="1" x14ac:dyDescent="0.2">
      <c r="S346" s="107"/>
      <c r="T346" s="107"/>
      <c r="U346" s="95"/>
      <c r="V346" s="95"/>
      <c r="W346" s="95"/>
      <c r="X346" s="95"/>
      <c r="Y346" s="95"/>
      <c r="Z346" s="95"/>
      <c r="AA346" s="95"/>
      <c r="AB346" s="95"/>
      <c r="AC346" s="95"/>
      <c r="AD346" s="108"/>
      <c r="AE346" s="96"/>
    </row>
    <row r="347" spans="19:31" ht="12" customHeight="1" x14ac:dyDescent="0.2">
      <c r="S347" s="107"/>
      <c r="T347" s="107"/>
      <c r="U347" s="95"/>
      <c r="V347" s="95"/>
      <c r="W347" s="95"/>
      <c r="X347" s="95"/>
      <c r="Y347" s="95"/>
      <c r="Z347" s="95"/>
      <c r="AA347" s="95"/>
      <c r="AB347" s="95"/>
      <c r="AC347" s="95"/>
      <c r="AD347" s="108"/>
      <c r="AE347" s="96"/>
    </row>
    <row r="348" spans="19:31" ht="12" customHeight="1" x14ac:dyDescent="0.2">
      <c r="S348" s="107"/>
      <c r="T348" s="107"/>
      <c r="U348" s="95"/>
      <c r="V348" s="95"/>
      <c r="W348" s="95"/>
      <c r="X348" s="95"/>
      <c r="Y348" s="95"/>
      <c r="Z348" s="95"/>
      <c r="AA348" s="95"/>
      <c r="AB348" s="95"/>
      <c r="AC348" s="95"/>
      <c r="AE348" s="96"/>
    </row>
    <row r="349" spans="19:31" ht="12" customHeight="1" x14ac:dyDescent="0.2">
      <c r="S349" s="107"/>
      <c r="T349" s="107"/>
      <c r="U349" s="95"/>
      <c r="V349" s="95"/>
      <c r="W349" s="95"/>
      <c r="X349" s="95"/>
      <c r="Y349" s="95"/>
      <c r="Z349" s="95"/>
      <c r="AA349" s="95"/>
      <c r="AB349" s="95"/>
      <c r="AC349" s="95"/>
      <c r="AD349" s="108"/>
      <c r="AE349" s="96"/>
    </row>
    <row r="350" spans="19:31" ht="12" customHeight="1" x14ac:dyDescent="0.2">
      <c r="S350" s="107"/>
      <c r="T350" s="107"/>
      <c r="U350" s="95"/>
      <c r="V350" s="95"/>
      <c r="W350" s="95"/>
      <c r="X350" s="95"/>
      <c r="Y350" s="95"/>
      <c r="Z350" s="95"/>
      <c r="AA350" s="95"/>
      <c r="AB350" s="95"/>
      <c r="AC350" s="95"/>
      <c r="AE350" s="96"/>
    </row>
    <row r="351" spans="19:31" ht="12" customHeight="1" x14ac:dyDescent="0.2">
      <c r="S351" s="107"/>
      <c r="T351" s="107"/>
      <c r="U351" s="95"/>
      <c r="V351" s="95"/>
      <c r="W351" s="95"/>
      <c r="X351" s="95"/>
      <c r="Y351" s="95"/>
      <c r="Z351" s="95"/>
      <c r="AA351" s="95"/>
      <c r="AB351" s="95"/>
      <c r="AC351" s="95"/>
      <c r="AD351" s="108"/>
      <c r="AE351" s="96"/>
    </row>
    <row r="352" spans="19:31" ht="12" customHeight="1" x14ac:dyDescent="0.2">
      <c r="S352" s="107"/>
      <c r="T352" s="107"/>
      <c r="U352" s="95"/>
      <c r="V352" s="95"/>
      <c r="W352" s="95"/>
      <c r="X352" s="95"/>
      <c r="Y352" s="95"/>
      <c r="Z352" s="95"/>
      <c r="AA352" s="95"/>
      <c r="AB352" s="95"/>
      <c r="AC352" s="95"/>
      <c r="AD352" s="108"/>
      <c r="AE352" s="96"/>
    </row>
    <row r="353" spans="19:31" ht="12" customHeight="1" x14ac:dyDescent="0.2">
      <c r="S353" s="107"/>
      <c r="T353" s="107"/>
      <c r="U353" s="95"/>
      <c r="V353" s="95"/>
      <c r="W353" s="95"/>
      <c r="X353" s="95"/>
      <c r="Y353" s="95"/>
      <c r="Z353" s="95"/>
      <c r="AA353" s="95"/>
      <c r="AB353" s="95"/>
      <c r="AC353" s="95"/>
      <c r="AD353" s="108"/>
      <c r="AE353" s="96"/>
    </row>
    <row r="354" spans="19:31" ht="12" customHeight="1" x14ac:dyDescent="0.2">
      <c r="S354" s="107"/>
      <c r="T354" s="107"/>
      <c r="U354" s="95"/>
      <c r="V354" s="95"/>
      <c r="W354" s="95"/>
      <c r="X354" s="95"/>
      <c r="Y354" s="95"/>
      <c r="Z354" s="95"/>
      <c r="AA354" s="95"/>
      <c r="AB354" s="95"/>
      <c r="AC354" s="95"/>
      <c r="AD354" s="108"/>
      <c r="AE354" s="96"/>
    </row>
    <row r="355" spans="19:31" ht="12" customHeight="1" x14ac:dyDescent="0.2">
      <c r="S355" s="107"/>
      <c r="T355" s="107"/>
      <c r="U355" s="95"/>
      <c r="V355" s="95"/>
      <c r="W355" s="95"/>
      <c r="X355" s="95"/>
      <c r="Y355" s="95"/>
      <c r="Z355" s="95"/>
      <c r="AA355" s="95"/>
      <c r="AB355" s="95"/>
      <c r="AC355" s="95"/>
      <c r="AE355" s="96"/>
    </row>
    <row r="356" spans="19:31" ht="12" customHeight="1" x14ac:dyDescent="0.2">
      <c r="S356" s="107"/>
      <c r="T356" s="107"/>
      <c r="U356" s="95"/>
      <c r="V356" s="95"/>
      <c r="W356" s="95"/>
      <c r="X356" s="95"/>
      <c r="Y356" s="95"/>
      <c r="Z356" s="95"/>
      <c r="AA356" s="95"/>
      <c r="AB356" s="95"/>
      <c r="AC356" s="95"/>
      <c r="AD356" s="108"/>
      <c r="AE356" s="96"/>
    </row>
    <row r="357" spans="19:31" ht="12" customHeight="1" x14ac:dyDescent="0.2">
      <c r="S357" s="107"/>
      <c r="T357" s="107"/>
      <c r="U357" s="95"/>
      <c r="V357" s="95"/>
      <c r="W357" s="95"/>
      <c r="X357" s="95"/>
      <c r="Y357" s="95"/>
      <c r="Z357" s="95"/>
      <c r="AA357" s="95"/>
      <c r="AB357" s="95"/>
      <c r="AC357" s="95"/>
      <c r="AD357" s="108"/>
      <c r="AE357" s="96"/>
    </row>
    <row r="358" spans="19:31" ht="12" customHeight="1" x14ac:dyDescent="0.2">
      <c r="S358" s="107"/>
      <c r="T358" s="107"/>
      <c r="U358" s="95"/>
      <c r="V358" s="95"/>
      <c r="W358" s="95"/>
      <c r="X358" s="95"/>
      <c r="Y358" s="95"/>
      <c r="Z358" s="95"/>
      <c r="AA358" s="95"/>
      <c r="AB358" s="95"/>
      <c r="AC358" s="95"/>
      <c r="AD358" s="108"/>
      <c r="AE358" s="96"/>
    </row>
    <row r="359" spans="19:31" ht="12" customHeight="1" x14ac:dyDescent="0.2">
      <c r="S359" s="107"/>
      <c r="T359" s="107"/>
      <c r="U359" s="95"/>
      <c r="V359" s="95"/>
      <c r="W359" s="95"/>
      <c r="X359" s="95"/>
      <c r="Y359" s="95"/>
      <c r="Z359" s="95"/>
      <c r="AA359" s="95"/>
      <c r="AB359" s="95"/>
      <c r="AC359" s="95"/>
      <c r="AD359" s="108"/>
      <c r="AE359" s="96"/>
    </row>
    <row r="360" spans="19:31" ht="12" customHeight="1" x14ac:dyDescent="0.2">
      <c r="U360" s="95"/>
      <c r="V360" s="95"/>
      <c r="W360" s="95"/>
      <c r="X360" s="95"/>
      <c r="Y360" s="95"/>
      <c r="Z360" s="95"/>
      <c r="AA360" s="95"/>
      <c r="AB360" s="95"/>
      <c r="AC360" s="95"/>
      <c r="AE360" s="96"/>
    </row>
    <row r="361" spans="19:31" ht="12" customHeight="1" x14ac:dyDescent="0.2">
      <c r="S361" s="107"/>
      <c r="T361" s="107"/>
      <c r="U361" s="95"/>
      <c r="V361" s="95"/>
      <c r="W361" s="95"/>
      <c r="X361" s="95"/>
      <c r="Y361" s="95"/>
      <c r="Z361" s="95"/>
      <c r="AA361" s="95"/>
      <c r="AB361" s="95"/>
      <c r="AC361" s="95"/>
      <c r="AD361" s="108"/>
      <c r="AE361" s="96"/>
    </row>
    <row r="362" spans="19:31" ht="12" customHeight="1" x14ac:dyDescent="0.2">
      <c r="S362" s="107"/>
      <c r="T362" s="107"/>
      <c r="U362" s="95"/>
      <c r="V362" s="95"/>
      <c r="W362" s="95"/>
      <c r="X362" s="95"/>
      <c r="Y362" s="95"/>
      <c r="Z362" s="95"/>
      <c r="AA362" s="95"/>
      <c r="AB362" s="95"/>
      <c r="AC362" s="95"/>
      <c r="AD362" s="108"/>
      <c r="AE362" s="96"/>
    </row>
    <row r="363" spans="19:31" ht="12" customHeight="1" x14ac:dyDescent="0.2">
      <c r="S363" s="107"/>
      <c r="T363" s="107"/>
      <c r="U363" s="95"/>
      <c r="V363" s="95"/>
      <c r="W363" s="95"/>
      <c r="X363" s="95"/>
      <c r="Y363" s="95"/>
      <c r="Z363" s="95"/>
      <c r="AA363" s="95"/>
      <c r="AB363" s="95"/>
      <c r="AC363" s="95"/>
      <c r="AD363" s="108"/>
      <c r="AE363" s="96"/>
    </row>
    <row r="364" spans="19:31" ht="12" customHeight="1" x14ac:dyDescent="0.2">
      <c r="S364" s="107"/>
      <c r="T364" s="107"/>
      <c r="U364" s="95"/>
      <c r="V364" s="95"/>
      <c r="W364" s="95"/>
      <c r="X364" s="95"/>
      <c r="Y364" s="95"/>
      <c r="Z364" s="95"/>
      <c r="AA364" s="95"/>
      <c r="AB364" s="95"/>
      <c r="AC364" s="95"/>
      <c r="AE364" s="96"/>
    </row>
    <row r="365" spans="19:31" ht="12" customHeight="1" x14ac:dyDescent="0.2">
      <c r="S365" s="107"/>
      <c r="T365" s="107"/>
      <c r="U365" s="95"/>
      <c r="V365" s="95"/>
      <c r="W365" s="95"/>
      <c r="X365" s="95"/>
      <c r="Y365" s="95"/>
      <c r="Z365" s="95"/>
      <c r="AA365" s="95"/>
      <c r="AB365" s="95"/>
      <c r="AC365" s="95"/>
      <c r="AE365" s="96"/>
    </row>
    <row r="366" spans="19:31" ht="12" customHeight="1" x14ac:dyDescent="0.2">
      <c r="S366" s="107"/>
      <c r="T366" s="107"/>
      <c r="U366" s="95"/>
      <c r="V366" s="95"/>
      <c r="W366" s="95"/>
      <c r="X366" s="95"/>
      <c r="Y366" s="95"/>
      <c r="Z366" s="95"/>
      <c r="AA366" s="95"/>
      <c r="AB366" s="95"/>
      <c r="AC366" s="95"/>
      <c r="AE366" s="96"/>
    </row>
    <row r="367" spans="19:31" ht="12" customHeight="1" x14ac:dyDescent="0.2">
      <c r="S367" s="107"/>
      <c r="T367" s="107"/>
      <c r="U367" s="95"/>
      <c r="V367" s="95"/>
      <c r="W367" s="95"/>
      <c r="X367" s="95"/>
      <c r="Y367" s="95"/>
      <c r="Z367" s="95"/>
      <c r="AA367" s="95"/>
      <c r="AB367" s="95"/>
      <c r="AC367" s="95"/>
      <c r="AD367" s="108"/>
      <c r="AE367" s="96"/>
    </row>
    <row r="368" spans="19:31" ht="12" customHeight="1" x14ac:dyDescent="0.2">
      <c r="S368" s="107"/>
      <c r="T368" s="107"/>
      <c r="U368" s="95"/>
      <c r="V368" s="95"/>
      <c r="W368" s="95"/>
      <c r="X368" s="95"/>
      <c r="Y368" s="95"/>
      <c r="Z368" s="95"/>
      <c r="AA368" s="95"/>
      <c r="AB368" s="95"/>
      <c r="AC368" s="95"/>
      <c r="AD368" s="108"/>
      <c r="AE368" s="96"/>
    </row>
    <row r="369" spans="19:31" ht="12" customHeight="1" x14ac:dyDescent="0.2">
      <c r="S369" s="107"/>
      <c r="T369" s="107"/>
      <c r="U369" s="95"/>
      <c r="V369" s="95"/>
      <c r="W369" s="95"/>
      <c r="X369" s="95"/>
      <c r="Y369" s="95"/>
      <c r="Z369" s="95"/>
      <c r="AA369" s="95"/>
      <c r="AB369" s="95"/>
      <c r="AC369" s="95"/>
      <c r="AD369" s="108"/>
      <c r="AE369" s="96"/>
    </row>
    <row r="370" spans="19:31" ht="12" customHeight="1" x14ac:dyDescent="0.2">
      <c r="S370" s="107"/>
      <c r="T370" s="107"/>
      <c r="U370" s="95"/>
      <c r="V370" s="95"/>
      <c r="W370" s="95"/>
      <c r="X370" s="95"/>
      <c r="Y370" s="95"/>
      <c r="Z370" s="95"/>
      <c r="AA370" s="95"/>
      <c r="AB370" s="95"/>
      <c r="AC370" s="95"/>
      <c r="AE370" s="96"/>
    </row>
    <row r="371" spans="19:31" ht="12" customHeight="1" x14ac:dyDescent="0.2">
      <c r="S371" s="107"/>
      <c r="T371" s="107"/>
      <c r="U371" s="95"/>
      <c r="V371" s="95"/>
      <c r="W371" s="95"/>
      <c r="X371" s="95"/>
      <c r="Y371" s="95"/>
      <c r="Z371" s="95"/>
      <c r="AA371" s="95"/>
      <c r="AB371" s="95"/>
      <c r="AC371" s="95"/>
      <c r="AD371" s="108"/>
      <c r="AE371" s="96"/>
    </row>
    <row r="372" spans="19:31" ht="12" customHeight="1" x14ac:dyDescent="0.2">
      <c r="S372" s="107"/>
      <c r="T372" s="107"/>
      <c r="U372" s="95"/>
      <c r="V372" s="95"/>
      <c r="W372" s="95"/>
      <c r="X372" s="95"/>
      <c r="Y372" s="95"/>
      <c r="Z372" s="95"/>
      <c r="AA372" s="95"/>
      <c r="AB372" s="95"/>
      <c r="AC372" s="95"/>
      <c r="AD372" s="108"/>
      <c r="AE372" s="96"/>
    </row>
    <row r="373" spans="19:31" ht="12" customHeight="1" x14ac:dyDescent="0.2">
      <c r="S373" s="107"/>
      <c r="T373" s="107"/>
      <c r="U373" s="95"/>
      <c r="V373" s="95"/>
      <c r="W373" s="95"/>
      <c r="X373" s="95"/>
      <c r="Y373" s="95"/>
      <c r="Z373" s="95"/>
      <c r="AA373" s="95"/>
      <c r="AB373" s="95"/>
      <c r="AC373" s="95"/>
      <c r="AD373" s="108"/>
      <c r="AE373" s="96"/>
    </row>
    <row r="374" spans="19:31" ht="12" customHeight="1" x14ac:dyDescent="0.2">
      <c r="S374" s="107"/>
      <c r="T374" s="107"/>
      <c r="U374" s="95"/>
      <c r="V374" s="95"/>
      <c r="W374" s="95"/>
      <c r="X374" s="95"/>
      <c r="Y374" s="95"/>
      <c r="Z374" s="95"/>
      <c r="AA374" s="95"/>
      <c r="AB374" s="95"/>
      <c r="AC374" s="95"/>
      <c r="AE374" s="96"/>
    </row>
    <row r="375" spans="19:31" ht="12" customHeight="1" x14ac:dyDescent="0.2">
      <c r="S375" s="107"/>
      <c r="T375" s="107"/>
      <c r="U375" s="95"/>
      <c r="V375" s="95"/>
      <c r="W375" s="95"/>
      <c r="X375" s="95"/>
      <c r="Y375" s="95"/>
      <c r="Z375" s="95"/>
      <c r="AA375" s="95"/>
      <c r="AB375" s="95"/>
      <c r="AC375" s="95"/>
      <c r="AD375" s="108"/>
      <c r="AE375" s="96"/>
    </row>
    <row r="376" spans="19:31" ht="12" customHeight="1" x14ac:dyDescent="0.2">
      <c r="S376" s="107"/>
      <c r="T376" s="107"/>
      <c r="U376" s="95"/>
      <c r="V376" s="95"/>
      <c r="W376" s="95"/>
      <c r="X376" s="95"/>
      <c r="Y376" s="95"/>
      <c r="Z376" s="95"/>
      <c r="AA376" s="95"/>
      <c r="AB376" s="95"/>
      <c r="AC376" s="95"/>
      <c r="AD376" s="108"/>
      <c r="AE376" s="96"/>
    </row>
    <row r="377" spans="19:31" ht="12" customHeight="1" x14ac:dyDescent="0.2">
      <c r="S377" s="107"/>
      <c r="T377" s="107"/>
      <c r="U377" s="95"/>
      <c r="V377" s="95"/>
      <c r="W377" s="95"/>
      <c r="X377" s="95"/>
      <c r="Y377" s="95"/>
      <c r="Z377" s="95"/>
      <c r="AA377" s="95"/>
      <c r="AB377" s="95"/>
      <c r="AC377" s="95"/>
      <c r="AE377" s="96"/>
    </row>
    <row r="378" spans="19:31" ht="12" customHeight="1" x14ac:dyDescent="0.2">
      <c r="S378" s="107"/>
      <c r="T378" s="107"/>
      <c r="U378" s="95"/>
      <c r="V378" s="95"/>
      <c r="W378" s="95"/>
      <c r="X378" s="95"/>
      <c r="Y378" s="95"/>
      <c r="Z378" s="95"/>
      <c r="AA378" s="95"/>
      <c r="AB378" s="95"/>
      <c r="AC378" s="95"/>
      <c r="AE378" s="96"/>
    </row>
    <row r="379" spans="19:31" ht="12" customHeight="1" x14ac:dyDescent="0.2">
      <c r="S379" s="107"/>
      <c r="T379" s="107"/>
      <c r="U379" s="95"/>
      <c r="V379" s="95"/>
      <c r="W379" s="95"/>
      <c r="X379" s="95"/>
      <c r="Y379" s="95"/>
      <c r="Z379" s="95"/>
      <c r="AA379" s="95"/>
      <c r="AB379" s="95"/>
      <c r="AC379" s="95"/>
      <c r="AE379" s="96"/>
    </row>
    <row r="380" spans="19:31" ht="12" customHeight="1" x14ac:dyDescent="0.2">
      <c r="S380" s="107"/>
      <c r="T380" s="107"/>
      <c r="U380" s="95"/>
      <c r="V380" s="95"/>
      <c r="W380" s="95"/>
      <c r="X380" s="95"/>
      <c r="Y380" s="95"/>
      <c r="Z380" s="95"/>
      <c r="AA380" s="95"/>
      <c r="AB380" s="95"/>
      <c r="AC380" s="95"/>
      <c r="AD380" s="108"/>
      <c r="AE380" s="96"/>
    </row>
    <row r="381" spans="19:31" ht="12" customHeight="1" x14ac:dyDescent="0.2">
      <c r="S381" s="107"/>
      <c r="T381" s="107"/>
      <c r="U381" s="95"/>
      <c r="V381" s="95"/>
      <c r="W381" s="95"/>
      <c r="X381" s="95"/>
      <c r="Y381" s="95"/>
      <c r="Z381" s="95"/>
      <c r="AA381" s="95"/>
      <c r="AB381" s="95"/>
      <c r="AC381" s="95"/>
      <c r="AE381" s="96"/>
    </row>
    <row r="382" spans="19:31" ht="12" customHeight="1" x14ac:dyDescent="0.2">
      <c r="S382" s="107"/>
      <c r="T382" s="107"/>
      <c r="U382" s="95"/>
      <c r="V382" s="95"/>
      <c r="W382" s="95"/>
      <c r="X382" s="95"/>
      <c r="Y382" s="95"/>
      <c r="Z382" s="95"/>
      <c r="AA382" s="95"/>
      <c r="AB382" s="95"/>
      <c r="AC382" s="95"/>
      <c r="AD382" s="108"/>
      <c r="AE382" s="96"/>
    </row>
    <row r="383" spans="19:31" ht="12" customHeight="1" x14ac:dyDescent="0.2">
      <c r="S383" s="107"/>
      <c r="T383" s="107"/>
      <c r="U383" s="95"/>
      <c r="V383" s="95"/>
      <c r="W383" s="95"/>
      <c r="X383" s="95"/>
      <c r="Y383" s="95"/>
      <c r="Z383" s="95"/>
      <c r="AA383" s="95"/>
      <c r="AB383" s="95"/>
      <c r="AC383" s="95"/>
      <c r="AD383" s="108"/>
      <c r="AE383" s="96"/>
    </row>
    <row r="384" spans="19:31" ht="12" customHeight="1" x14ac:dyDescent="0.2">
      <c r="S384" s="107"/>
      <c r="T384" s="107"/>
      <c r="U384" s="95"/>
      <c r="V384" s="95"/>
      <c r="W384" s="95"/>
      <c r="X384" s="95"/>
      <c r="Y384" s="95"/>
      <c r="Z384" s="95"/>
      <c r="AA384" s="95"/>
      <c r="AB384" s="95"/>
      <c r="AC384" s="95"/>
      <c r="AE384" s="96"/>
    </row>
    <row r="385" spans="19:31" ht="12" customHeight="1" x14ac:dyDescent="0.2">
      <c r="S385" s="107"/>
      <c r="T385" s="107"/>
      <c r="U385" s="95"/>
      <c r="V385" s="95"/>
      <c r="W385" s="95"/>
      <c r="X385" s="95"/>
      <c r="Y385" s="95"/>
      <c r="Z385" s="95"/>
      <c r="AA385" s="95"/>
      <c r="AB385" s="95"/>
      <c r="AC385" s="95"/>
      <c r="AD385" s="108"/>
      <c r="AE385" s="96"/>
    </row>
    <row r="386" spans="19:31" ht="12" customHeight="1" x14ac:dyDescent="0.2">
      <c r="S386" s="107"/>
      <c r="T386" s="107"/>
      <c r="U386" s="95"/>
      <c r="V386" s="95"/>
      <c r="W386" s="95"/>
      <c r="X386" s="95"/>
      <c r="Y386" s="95"/>
      <c r="Z386" s="95"/>
      <c r="AA386" s="95"/>
      <c r="AB386" s="95"/>
      <c r="AC386" s="95"/>
      <c r="AD386" s="108"/>
      <c r="AE386" s="96"/>
    </row>
    <row r="387" spans="19:31" ht="12" customHeight="1" x14ac:dyDescent="0.2">
      <c r="S387" s="107"/>
      <c r="T387" s="107"/>
      <c r="U387" s="95"/>
      <c r="V387" s="95"/>
      <c r="W387" s="95"/>
      <c r="X387" s="95"/>
      <c r="Y387" s="95"/>
      <c r="Z387" s="95"/>
      <c r="AA387" s="95"/>
      <c r="AB387" s="95"/>
      <c r="AC387" s="95"/>
      <c r="AE387" s="96"/>
    </row>
    <row r="388" spans="19:31" ht="12" customHeight="1" x14ac:dyDescent="0.2">
      <c r="S388" s="107"/>
      <c r="T388" s="107"/>
      <c r="U388" s="95"/>
      <c r="V388" s="95"/>
      <c r="W388" s="95"/>
      <c r="X388" s="95"/>
      <c r="Y388" s="95"/>
      <c r="Z388" s="95"/>
      <c r="AA388" s="95"/>
      <c r="AB388" s="95"/>
      <c r="AC388" s="95"/>
      <c r="AD388" s="108"/>
      <c r="AE388" s="96"/>
    </row>
    <row r="389" spans="19:31" ht="12" customHeight="1" x14ac:dyDescent="0.2">
      <c r="S389" s="107"/>
      <c r="T389" s="107"/>
      <c r="U389" s="95"/>
      <c r="V389" s="95"/>
      <c r="W389" s="95"/>
      <c r="X389" s="95"/>
      <c r="Y389" s="95"/>
      <c r="Z389" s="95"/>
      <c r="AA389" s="95"/>
      <c r="AB389" s="95"/>
      <c r="AC389" s="95"/>
      <c r="AD389" s="108"/>
      <c r="AE389" s="96"/>
    </row>
    <row r="390" spans="19:31" ht="12" customHeight="1" x14ac:dyDescent="0.2">
      <c r="S390" s="107"/>
      <c r="T390" s="107"/>
      <c r="U390" s="95"/>
      <c r="V390" s="95"/>
      <c r="W390" s="95"/>
      <c r="X390" s="95"/>
      <c r="Y390" s="95"/>
      <c r="Z390" s="95"/>
      <c r="AA390" s="95"/>
      <c r="AB390" s="95"/>
      <c r="AC390" s="95"/>
      <c r="AE390" s="96"/>
    </row>
    <row r="391" spans="19:31" ht="12" customHeight="1" x14ac:dyDescent="0.2">
      <c r="S391" s="107"/>
      <c r="T391" s="107"/>
      <c r="U391" s="95"/>
      <c r="V391" s="95"/>
      <c r="W391" s="95"/>
      <c r="X391" s="95"/>
      <c r="Y391" s="95"/>
      <c r="Z391" s="95"/>
      <c r="AA391" s="95"/>
      <c r="AB391" s="95"/>
      <c r="AC391" s="95"/>
      <c r="AD391" s="108"/>
      <c r="AE391" s="96"/>
    </row>
    <row r="392" spans="19:31" ht="12" customHeight="1" x14ac:dyDescent="0.2">
      <c r="S392" s="107"/>
      <c r="T392" s="107"/>
      <c r="U392" s="95"/>
      <c r="V392" s="95"/>
      <c r="W392" s="95"/>
      <c r="X392" s="95"/>
      <c r="Y392" s="95"/>
      <c r="Z392" s="95"/>
      <c r="AA392" s="95"/>
      <c r="AB392" s="95"/>
      <c r="AC392" s="95"/>
      <c r="AD392" s="108"/>
      <c r="AE392" s="96"/>
    </row>
    <row r="393" spans="19:31" ht="12" customHeight="1" x14ac:dyDescent="0.2">
      <c r="S393" s="107"/>
      <c r="T393" s="107"/>
      <c r="U393" s="95"/>
      <c r="V393" s="95"/>
      <c r="W393" s="95"/>
      <c r="X393" s="95"/>
      <c r="Y393" s="95"/>
      <c r="Z393" s="95"/>
      <c r="AA393" s="95"/>
      <c r="AB393" s="95"/>
      <c r="AC393" s="95"/>
      <c r="AD393" s="108"/>
      <c r="AE393" s="96"/>
    </row>
    <row r="394" spans="19:31" ht="12" customHeight="1" x14ac:dyDescent="0.2">
      <c r="S394" s="107"/>
      <c r="T394" s="107"/>
      <c r="U394" s="95"/>
      <c r="V394" s="95"/>
      <c r="W394" s="95"/>
      <c r="X394" s="95"/>
      <c r="Y394" s="95"/>
      <c r="Z394" s="95"/>
      <c r="AA394" s="95"/>
      <c r="AB394" s="95"/>
      <c r="AC394" s="95"/>
      <c r="AE394" s="96"/>
    </row>
    <row r="395" spans="19:31" ht="12" customHeight="1" x14ac:dyDescent="0.2">
      <c r="S395" s="107"/>
      <c r="T395" s="107"/>
      <c r="U395" s="95"/>
      <c r="V395" s="95"/>
      <c r="W395" s="95"/>
      <c r="X395" s="95"/>
      <c r="Y395" s="95"/>
      <c r="Z395" s="95"/>
      <c r="AA395" s="95"/>
      <c r="AB395" s="95"/>
      <c r="AC395" s="95"/>
      <c r="AD395" s="108"/>
      <c r="AE395" s="96"/>
    </row>
    <row r="396" spans="19:31" ht="12" customHeight="1" x14ac:dyDescent="0.2">
      <c r="S396" s="107"/>
      <c r="T396" s="107"/>
      <c r="U396" s="95"/>
      <c r="V396" s="95"/>
      <c r="W396" s="95"/>
      <c r="X396" s="95"/>
      <c r="Y396" s="95"/>
      <c r="Z396" s="95"/>
      <c r="AA396" s="95"/>
      <c r="AB396" s="95"/>
      <c r="AC396" s="95"/>
      <c r="AD396" s="108"/>
      <c r="AE396" s="96"/>
    </row>
    <row r="397" spans="19:31" ht="12" customHeight="1" x14ac:dyDescent="0.2">
      <c r="S397" s="107"/>
      <c r="T397" s="107"/>
      <c r="U397" s="95"/>
      <c r="V397" s="95"/>
      <c r="W397" s="95"/>
      <c r="X397" s="95"/>
      <c r="Y397" s="95"/>
      <c r="Z397" s="95"/>
      <c r="AA397" s="95"/>
      <c r="AB397" s="95"/>
      <c r="AC397" s="95"/>
      <c r="AE397" s="96"/>
    </row>
    <row r="398" spans="19:31" ht="12" customHeight="1" x14ac:dyDescent="0.2">
      <c r="S398" s="107"/>
      <c r="T398" s="107"/>
      <c r="U398" s="95"/>
      <c r="V398" s="95"/>
      <c r="W398" s="95"/>
      <c r="X398" s="95"/>
      <c r="Y398" s="95"/>
      <c r="Z398" s="95"/>
      <c r="AA398" s="95"/>
      <c r="AB398" s="95"/>
      <c r="AC398" s="95"/>
      <c r="AD398" s="108"/>
      <c r="AE398" s="96"/>
    </row>
    <row r="399" spans="19:31" ht="12" customHeight="1" x14ac:dyDescent="0.2">
      <c r="S399" s="107"/>
      <c r="T399" s="107"/>
      <c r="U399" s="95"/>
      <c r="V399" s="95"/>
      <c r="W399" s="95"/>
      <c r="X399" s="95"/>
      <c r="Y399" s="95"/>
      <c r="Z399" s="95"/>
      <c r="AA399" s="95"/>
      <c r="AB399" s="95"/>
      <c r="AC399" s="95"/>
      <c r="AD399" s="108"/>
      <c r="AE399" s="96"/>
    </row>
    <row r="400" spans="19:31" ht="12" customHeight="1" x14ac:dyDescent="0.2">
      <c r="S400" s="107"/>
      <c r="T400" s="107"/>
      <c r="U400" s="95"/>
      <c r="V400" s="95"/>
      <c r="W400" s="95"/>
      <c r="X400" s="95"/>
      <c r="Y400" s="95"/>
      <c r="Z400" s="95"/>
      <c r="AA400" s="95"/>
      <c r="AB400" s="95"/>
      <c r="AC400" s="95"/>
      <c r="AE400" s="96"/>
    </row>
    <row r="401" spans="19:31" ht="12" customHeight="1" x14ac:dyDescent="0.2">
      <c r="S401" s="107"/>
      <c r="T401" s="107"/>
      <c r="U401" s="95"/>
      <c r="V401" s="95"/>
      <c r="W401" s="95"/>
      <c r="X401" s="95"/>
      <c r="Y401" s="95"/>
      <c r="Z401" s="95"/>
      <c r="AA401" s="95"/>
      <c r="AB401" s="95"/>
      <c r="AC401" s="95"/>
      <c r="AD401" s="108"/>
      <c r="AE401" s="96"/>
    </row>
    <row r="402" spans="19:31" ht="12" customHeight="1" x14ac:dyDescent="0.2">
      <c r="S402" s="107"/>
      <c r="T402" s="107"/>
      <c r="U402" s="95"/>
      <c r="V402" s="95"/>
      <c r="W402" s="95"/>
      <c r="X402" s="95"/>
      <c r="Y402" s="95"/>
      <c r="Z402" s="95"/>
      <c r="AA402" s="95"/>
      <c r="AB402" s="95"/>
      <c r="AC402" s="95"/>
      <c r="AD402" s="108"/>
      <c r="AE402" s="96"/>
    </row>
    <row r="403" spans="19:31" ht="12" customHeight="1" x14ac:dyDescent="0.2">
      <c r="S403" s="107"/>
      <c r="T403" s="107"/>
      <c r="U403" s="95"/>
      <c r="V403" s="95"/>
      <c r="W403" s="95"/>
      <c r="X403" s="95"/>
      <c r="Y403" s="95"/>
      <c r="Z403" s="95"/>
      <c r="AA403" s="95"/>
      <c r="AB403" s="95"/>
      <c r="AC403" s="95"/>
      <c r="AD403" s="108"/>
      <c r="AE403" s="96"/>
    </row>
    <row r="404" spans="19:31" ht="12" customHeight="1" x14ac:dyDescent="0.2">
      <c r="S404" s="107"/>
      <c r="T404" s="107"/>
      <c r="U404" s="95"/>
      <c r="V404" s="95"/>
      <c r="W404" s="95"/>
      <c r="X404" s="95"/>
      <c r="Y404" s="95"/>
      <c r="Z404" s="95"/>
      <c r="AA404" s="95"/>
      <c r="AB404" s="95"/>
      <c r="AC404" s="95"/>
      <c r="AD404" s="108"/>
      <c r="AE404" s="96"/>
    </row>
    <row r="405" spans="19:31" ht="12" customHeight="1" x14ac:dyDescent="0.2">
      <c r="S405" s="107"/>
      <c r="T405" s="107"/>
      <c r="U405" s="95"/>
      <c r="V405" s="95"/>
      <c r="W405" s="95"/>
      <c r="X405" s="95"/>
      <c r="Y405" s="95"/>
      <c r="Z405" s="95"/>
      <c r="AA405" s="95"/>
      <c r="AB405" s="95"/>
      <c r="AC405" s="95"/>
      <c r="AE405" s="96"/>
    </row>
    <row r="406" spans="19:31" ht="12" customHeight="1" x14ac:dyDescent="0.2">
      <c r="S406" s="107"/>
      <c r="T406" s="107"/>
      <c r="U406" s="95"/>
      <c r="V406" s="95"/>
      <c r="W406" s="95"/>
      <c r="X406" s="95"/>
      <c r="Y406" s="95"/>
      <c r="Z406" s="95"/>
      <c r="AA406" s="95"/>
      <c r="AB406" s="95"/>
      <c r="AC406" s="95"/>
      <c r="AD406" s="108"/>
      <c r="AE406" s="96"/>
    </row>
    <row r="407" spans="19:31" ht="12" customHeight="1" x14ac:dyDescent="0.2">
      <c r="S407" s="107"/>
      <c r="T407" s="107"/>
      <c r="U407" s="95"/>
      <c r="V407" s="95"/>
      <c r="W407" s="95"/>
      <c r="X407" s="95"/>
      <c r="Y407" s="95"/>
      <c r="Z407" s="95"/>
      <c r="AA407" s="95"/>
      <c r="AB407" s="95"/>
      <c r="AC407" s="95"/>
      <c r="AD407" s="108"/>
      <c r="AE407" s="96"/>
    </row>
    <row r="408" spans="19:31" ht="12" customHeight="1" x14ac:dyDescent="0.2">
      <c r="S408" s="107"/>
      <c r="T408" s="107"/>
      <c r="U408" s="95"/>
      <c r="V408" s="95"/>
      <c r="W408" s="95"/>
      <c r="X408" s="95"/>
      <c r="Y408" s="95"/>
      <c r="Z408" s="95"/>
      <c r="AA408" s="95"/>
      <c r="AB408" s="95"/>
      <c r="AC408" s="95"/>
      <c r="AD408" s="108"/>
      <c r="AE408" s="96"/>
    </row>
    <row r="409" spans="19:31" ht="12" customHeight="1" x14ac:dyDescent="0.2">
      <c r="S409" s="107"/>
      <c r="T409" s="107"/>
      <c r="U409" s="95"/>
      <c r="V409" s="95"/>
      <c r="W409" s="95"/>
      <c r="X409" s="95"/>
      <c r="Y409" s="95"/>
      <c r="Z409" s="95"/>
      <c r="AA409" s="95"/>
      <c r="AB409" s="95"/>
      <c r="AC409" s="95"/>
      <c r="AE409" s="96"/>
    </row>
    <row r="410" spans="19:31" ht="12" customHeight="1" x14ac:dyDescent="0.2">
      <c r="S410" s="107"/>
      <c r="T410" s="107"/>
      <c r="U410" s="95"/>
      <c r="V410" s="95"/>
      <c r="W410" s="95"/>
      <c r="X410" s="95"/>
      <c r="Y410" s="95"/>
      <c r="Z410" s="95"/>
      <c r="AA410" s="95"/>
      <c r="AB410" s="95"/>
      <c r="AC410" s="95"/>
      <c r="AE410" s="96"/>
    </row>
    <row r="411" spans="19:31" ht="12" customHeight="1" x14ac:dyDescent="0.2">
      <c r="S411" s="93"/>
      <c r="T411" s="107"/>
      <c r="U411" s="108"/>
      <c r="V411" s="95"/>
      <c r="W411" s="95"/>
      <c r="X411" s="95"/>
      <c r="Y411" s="95"/>
      <c r="Z411" s="95"/>
      <c r="AA411" s="95"/>
      <c r="AB411" s="95"/>
      <c r="AC411" s="95"/>
      <c r="AE411" s="96"/>
    </row>
    <row r="412" spans="19:31" ht="12" customHeight="1" x14ac:dyDescent="0.2">
      <c r="S412" s="107"/>
      <c r="T412" s="107"/>
      <c r="U412" s="95"/>
      <c r="V412" s="95"/>
      <c r="W412" s="95"/>
      <c r="X412" s="95"/>
      <c r="Y412" s="95"/>
      <c r="Z412" s="95"/>
      <c r="AA412" s="95"/>
      <c r="AB412" s="95"/>
      <c r="AC412" s="95"/>
      <c r="AD412" s="108"/>
      <c r="AE412" s="96"/>
    </row>
    <row r="413" spans="19:31" ht="12" customHeight="1" x14ac:dyDescent="0.2">
      <c r="S413" s="107"/>
      <c r="T413" s="107"/>
      <c r="U413" s="95"/>
      <c r="V413" s="95"/>
      <c r="W413" s="95"/>
      <c r="X413" s="95"/>
      <c r="Y413" s="95"/>
      <c r="Z413" s="95"/>
      <c r="AA413" s="95"/>
      <c r="AB413" s="95"/>
      <c r="AC413" s="95"/>
      <c r="AD413" s="108"/>
      <c r="AE413" s="96"/>
    </row>
    <row r="414" spans="19:31" ht="12" customHeight="1" x14ac:dyDescent="0.2">
      <c r="S414" s="107"/>
      <c r="T414" s="107"/>
      <c r="U414" s="95"/>
      <c r="V414" s="95"/>
      <c r="W414" s="95"/>
      <c r="X414" s="95"/>
      <c r="Y414" s="95"/>
      <c r="Z414" s="95"/>
      <c r="AA414" s="95"/>
      <c r="AB414" s="95"/>
      <c r="AC414" s="95"/>
      <c r="AD414" s="108"/>
      <c r="AE414" s="96"/>
    </row>
    <row r="415" spans="19:31" ht="12" customHeight="1" x14ac:dyDescent="0.2">
      <c r="S415" s="107"/>
      <c r="T415" s="107"/>
      <c r="U415" s="95"/>
      <c r="V415" s="95"/>
      <c r="W415" s="95"/>
      <c r="X415" s="95"/>
      <c r="Y415" s="95"/>
      <c r="Z415" s="95"/>
      <c r="AA415" s="95"/>
      <c r="AB415" s="95"/>
      <c r="AC415" s="95"/>
      <c r="AE415" s="96"/>
    </row>
    <row r="416" spans="19:31" ht="12" customHeight="1" x14ac:dyDescent="0.2">
      <c r="S416" s="107"/>
      <c r="T416" s="107"/>
      <c r="U416" s="95"/>
      <c r="V416" s="95"/>
      <c r="W416" s="95"/>
      <c r="X416" s="95"/>
      <c r="Y416" s="95"/>
      <c r="Z416" s="95"/>
      <c r="AA416" s="95"/>
      <c r="AB416" s="95"/>
      <c r="AC416" s="95"/>
      <c r="AD416" s="108"/>
      <c r="AE416" s="96"/>
    </row>
    <row r="417" spans="19:31" ht="12" customHeight="1" x14ac:dyDescent="0.2">
      <c r="S417" s="107"/>
      <c r="T417" s="107"/>
      <c r="U417" s="95"/>
      <c r="V417" s="95"/>
      <c r="W417" s="95"/>
      <c r="X417" s="95"/>
      <c r="Y417" s="95"/>
      <c r="Z417" s="95"/>
      <c r="AA417" s="95"/>
      <c r="AB417" s="95"/>
      <c r="AC417" s="95"/>
      <c r="AD417" s="108"/>
      <c r="AE417" s="96"/>
    </row>
    <row r="418" spans="19:31" ht="12" customHeight="1" x14ac:dyDescent="0.2">
      <c r="S418" s="107"/>
      <c r="T418" s="107"/>
      <c r="U418" s="95"/>
      <c r="V418" s="95"/>
      <c r="W418" s="95"/>
      <c r="X418" s="95"/>
      <c r="Y418" s="95"/>
      <c r="Z418" s="95"/>
      <c r="AA418" s="95"/>
      <c r="AB418" s="95"/>
      <c r="AC418" s="95"/>
      <c r="AD418" s="108"/>
      <c r="AE418" s="96"/>
    </row>
    <row r="419" spans="19:31" ht="12" customHeight="1" x14ac:dyDescent="0.2">
      <c r="S419" s="107"/>
      <c r="T419" s="107"/>
      <c r="U419" s="95"/>
      <c r="V419" s="95"/>
      <c r="W419" s="95"/>
      <c r="X419" s="95"/>
      <c r="Y419" s="95"/>
      <c r="Z419" s="95"/>
      <c r="AA419" s="95"/>
      <c r="AB419" s="95"/>
      <c r="AC419" s="95"/>
      <c r="AD419" s="108"/>
      <c r="AE419" s="96"/>
    </row>
    <row r="420" spans="19:31" ht="12" customHeight="1" x14ac:dyDescent="0.2">
      <c r="U420" s="95"/>
      <c r="V420" s="95"/>
      <c r="W420" s="95"/>
      <c r="X420" s="95"/>
      <c r="Y420" s="95"/>
      <c r="Z420" s="95"/>
      <c r="AA420" s="95"/>
      <c r="AB420" s="95"/>
      <c r="AC420" s="95"/>
      <c r="AE420" s="96"/>
    </row>
    <row r="421" spans="19:31" ht="12" customHeight="1" x14ac:dyDescent="0.2">
      <c r="S421" s="107"/>
      <c r="U421" s="95"/>
      <c r="V421" s="95"/>
      <c r="W421" s="95"/>
      <c r="X421" s="95"/>
      <c r="Y421" s="95"/>
      <c r="Z421" s="95"/>
      <c r="AA421" s="95"/>
      <c r="AB421" s="95"/>
      <c r="AC421" s="95"/>
      <c r="AD421" s="108"/>
      <c r="AE421" s="96"/>
    </row>
    <row r="422" spans="19:31" ht="12" customHeight="1" x14ac:dyDescent="0.2">
      <c r="S422" s="107"/>
      <c r="U422" s="95"/>
      <c r="V422" s="95"/>
      <c r="W422" s="95"/>
      <c r="X422" s="95"/>
      <c r="Y422" s="95"/>
      <c r="Z422" s="95"/>
      <c r="AA422" s="95"/>
      <c r="AB422" s="95"/>
      <c r="AC422" s="95"/>
      <c r="AD422" s="108"/>
      <c r="AE422" s="96"/>
    </row>
    <row r="423" spans="19:31" ht="12" customHeight="1" x14ac:dyDescent="0.2">
      <c r="U423" s="95"/>
      <c r="V423" s="95"/>
      <c r="W423" s="95"/>
      <c r="X423" s="95"/>
      <c r="Y423" s="95"/>
      <c r="Z423" s="95"/>
      <c r="AA423" s="95"/>
      <c r="AB423" s="95"/>
      <c r="AC423" s="95"/>
      <c r="AE423" s="96"/>
    </row>
    <row r="424" spans="19:31" ht="12" customHeight="1" x14ac:dyDescent="0.2">
      <c r="S424" s="107"/>
      <c r="T424" s="107"/>
      <c r="U424" s="95"/>
      <c r="V424" s="95"/>
      <c r="W424" s="95"/>
      <c r="X424" s="95"/>
      <c r="Y424" s="95"/>
      <c r="Z424" s="95"/>
      <c r="AA424" s="95"/>
      <c r="AB424" s="95"/>
      <c r="AC424" s="95"/>
      <c r="AD424" s="108"/>
      <c r="AE424" s="96"/>
    </row>
    <row r="425" spans="19:31" ht="12" customHeight="1" x14ac:dyDescent="0.2">
      <c r="S425" s="107"/>
      <c r="T425" s="107"/>
      <c r="U425" s="95"/>
      <c r="V425" s="95"/>
      <c r="W425" s="95"/>
      <c r="X425" s="95"/>
      <c r="Y425" s="95"/>
      <c r="Z425" s="95"/>
      <c r="AA425" s="95"/>
      <c r="AB425" s="95"/>
      <c r="AC425" s="95"/>
      <c r="AD425" s="108"/>
      <c r="AE425" s="96"/>
    </row>
    <row r="426" spans="19:31" ht="12" customHeight="1" x14ac:dyDescent="0.2">
      <c r="S426" s="107"/>
      <c r="T426" s="107"/>
      <c r="U426" s="95"/>
      <c r="V426" s="95"/>
      <c r="W426" s="95"/>
      <c r="X426" s="95"/>
      <c r="Y426" s="95"/>
      <c r="Z426" s="95"/>
      <c r="AA426" s="95"/>
      <c r="AB426" s="95"/>
      <c r="AC426" s="95"/>
      <c r="AD426" s="108"/>
      <c r="AE426" s="96"/>
    </row>
    <row r="427" spans="19:31" ht="12" customHeight="1" x14ac:dyDescent="0.2">
      <c r="S427" s="107"/>
      <c r="T427" s="107"/>
      <c r="U427" s="95"/>
      <c r="V427" s="95"/>
      <c r="W427" s="95"/>
      <c r="X427" s="95"/>
      <c r="Y427" s="95"/>
      <c r="Z427" s="95"/>
      <c r="AA427" s="95"/>
      <c r="AB427" s="95"/>
      <c r="AC427" s="95"/>
      <c r="AD427" s="108"/>
      <c r="AE427" s="96"/>
    </row>
    <row r="428" spans="19:31" ht="12" customHeight="1" x14ac:dyDescent="0.2">
      <c r="S428" s="107"/>
      <c r="T428" s="107"/>
      <c r="U428" s="95"/>
      <c r="V428" s="95"/>
      <c r="W428" s="95"/>
      <c r="X428" s="95"/>
      <c r="Y428" s="95"/>
      <c r="Z428" s="95"/>
      <c r="AA428" s="95"/>
      <c r="AB428" s="95"/>
      <c r="AC428" s="95"/>
      <c r="AD428" s="108"/>
      <c r="AE428" s="96"/>
    </row>
    <row r="429" spans="19:31" ht="12" customHeight="1" x14ac:dyDescent="0.2">
      <c r="U429" s="95"/>
      <c r="V429" s="95"/>
      <c r="W429" s="95"/>
      <c r="X429" s="95"/>
      <c r="Y429" s="95"/>
      <c r="Z429" s="95"/>
      <c r="AA429" s="95"/>
      <c r="AB429" s="95"/>
      <c r="AC429" s="95"/>
      <c r="AE429" s="96"/>
    </row>
    <row r="430" spans="19:31" ht="12" customHeight="1" x14ac:dyDescent="0.2">
      <c r="S430" s="107"/>
      <c r="T430" s="107"/>
      <c r="U430" s="95"/>
      <c r="V430" s="95"/>
      <c r="W430" s="95"/>
      <c r="X430" s="95"/>
      <c r="Y430" s="95"/>
      <c r="Z430" s="95"/>
      <c r="AA430" s="95"/>
      <c r="AB430" s="95"/>
      <c r="AC430" s="95"/>
      <c r="AD430" s="108"/>
      <c r="AE430" s="96"/>
    </row>
    <row r="431" spans="19:31" ht="12" customHeight="1" x14ac:dyDescent="0.2">
      <c r="S431" s="107"/>
      <c r="T431" s="107"/>
      <c r="U431" s="95"/>
      <c r="V431" s="95"/>
      <c r="W431" s="95"/>
      <c r="X431" s="95"/>
      <c r="Y431" s="95"/>
      <c r="Z431" s="95"/>
      <c r="AA431" s="95"/>
      <c r="AB431" s="95"/>
      <c r="AC431" s="95"/>
      <c r="AD431" s="108"/>
      <c r="AE431" s="96"/>
    </row>
    <row r="432" spans="19:31" ht="12" customHeight="1" x14ac:dyDescent="0.2">
      <c r="U432" s="95"/>
      <c r="V432" s="95"/>
      <c r="W432" s="95"/>
      <c r="X432" s="95"/>
      <c r="Y432" s="95"/>
      <c r="Z432" s="95"/>
      <c r="AA432" s="95"/>
      <c r="AB432" s="95"/>
      <c r="AC432" s="95"/>
      <c r="AE432" s="96"/>
    </row>
    <row r="433" spans="19:31" ht="12" customHeight="1" x14ac:dyDescent="0.2">
      <c r="S433" s="107"/>
      <c r="T433" s="107"/>
      <c r="U433" s="95"/>
      <c r="V433" s="95"/>
      <c r="W433" s="95"/>
      <c r="X433" s="95"/>
      <c r="Y433" s="95"/>
      <c r="Z433" s="95"/>
      <c r="AA433" s="95"/>
      <c r="AB433" s="95"/>
      <c r="AC433" s="95"/>
      <c r="AD433" s="108"/>
      <c r="AE433" s="96"/>
    </row>
    <row r="434" spans="19:31" ht="12" customHeight="1" x14ac:dyDescent="0.2">
      <c r="S434" s="107"/>
      <c r="T434" s="107"/>
      <c r="U434" s="95"/>
      <c r="V434" s="95"/>
      <c r="W434" s="95"/>
      <c r="X434" s="95"/>
      <c r="Y434" s="95"/>
      <c r="Z434" s="95"/>
      <c r="AA434" s="95"/>
      <c r="AB434" s="95"/>
      <c r="AC434" s="95"/>
      <c r="AD434" s="108"/>
      <c r="AE434" s="96"/>
    </row>
    <row r="435" spans="19:31" ht="12" customHeight="1" x14ac:dyDescent="0.2">
      <c r="S435" s="107"/>
      <c r="T435" s="107"/>
      <c r="U435" s="95"/>
      <c r="V435" s="95"/>
      <c r="W435" s="95"/>
      <c r="X435" s="95"/>
      <c r="Y435" s="95"/>
      <c r="Z435" s="95"/>
      <c r="AA435" s="95"/>
      <c r="AB435" s="95"/>
      <c r="AC435" s="95"/>
      <c r="AD435" s="108"/>
      <c r="AE435" s="96"/>
    </row>
    <row r="436" spans="19:31" ht="12" customHeight="1" x14ac:dyDescent="0.2">
      <c r="S436" s="107"/>
      <c r="T436" s="107"/>
      <c r="U436" s="95"/>
      <c r="V436" s="95"/>
      <c r="W436" s="95"/>
      <c r="X436" s="95"/>
      <c r="Y436" s="95"/>
      <c r="Z436" s="95"/>
      <c r="AA436" s="95"/>
      <c r="AB436" s="95"/>
      <c r="AC436" s="95"/>
      <c r="AD436" s="108"/>
      <c r="AE436" s="96"/>
    </row>
    <row r="437" spans="19:31" ht="12" customHeight="1" x14ac:dyDescent="0.2">
      <c r="S437" s="107"/>
      <c r="T437" s="107"/>
      <c r="U437" s="95"/>
      <c r="V437" s="95"/>
      <c r="W437" s="95"/>
      <c r="X437" s="95"/>
      <c r="Y437" s="95"/>
      <c r="Z437" s="95"/>
      <c r="AA437" s="95"/>
      <c r="AB437" s="95"/>
      <c r="AC437" s="95"/>
      <c r="AD437" s="108"/>
      <c r="AE437" s="96"/>
    </row>
    <row r="438" spans="19:31" ht="12" customHeight="1" x14ac:dyDescent="0.2">
      <c r="S438" s="107"/>
      <c r="T438" s="107"/>
      <c r="U438" s="95"/>
      <c r="V438" s="95"/>
      <c r="W438" s="95"/>
      <c r="X438" s="95"/>
      <c r="Y438" s="95"/>
      <c r="Z438" s="95"/>
      <c r="AA438" s="95"/>
      <c r="AB438" s="95"/>
      <c r="AC438" s="95"/>
      <c r="AD438" s="108"/>
      <c r="AE438" s="96"/>
    </row>
    <row r="439" spans="19:31" ht="12" customHeight="1" x14ac:dyDescent="0.2">
      <c r="S439" s="107"/>
      <c r="T439" s="107"/>
      <c r="U439" s="95"/>
      <c r="V439" s="95"/>
      <c r="W439" s="95"/>
      <c r="X439" s="95"/>
      <c r="Y439" s="95"/>
      <c r="Z439" s="95"/>
      <c r="AA439" s="95"/>
      <c r="AB439" s="95"/>
      <c r="AC439" s="95"/>
      <c r="AE439" s="96"/>
    </row>
    <row r="440" spans="19:31" ht="12" customHeight="1" x14ac:dyDescent="0.2">
      <c r="S440" s="107"/>
      <c r="T440" s="107"/>
      <c r="U440" s="95"/>
      <c r="V440" s="95"/>
      <c r="W440" s="95"/>
      <c r="X440" s="95"/>
      <c r="Y440" s="95"/>
      <c r="Z440" s="95"/>
      <c r="AA440" s="95"/>
      <c r="AB440" s="95"/>
      <c r="AC440" s="95"/>
      <c r="AD440" s="108"/>
      <c r="AE440" s="96"/>
    </row>
    <row r="441" spans="19:31" ht="12" customHeight="1" x14ac:dyDescent="0.2">
      <c r="S441" s="107"/>
      <c r="T441" s="107"/>
      <c r="U441" s="95"/>
      <c r="V441" s="95"/>
      <c r="W441" s="95"/>
      <c r="X441" s="95"/>
      <c r="Y441" s="95"/>
      <c r="Z441" s="95"/>
      <c r="AA441" s="95"/>
      <c r="AB441" s="95"/>
      <c r="AC441" s="95"/>
      <c r="AD441" s="108"/>
      <c r="AE441" s="96"/>
    </row>
    <row r="442" spans="19:31" ht="12" customHeight="1" x14ac:dyDescent="0.2">
      <c r="S442" s="107"/>
      <c r="T442" s="107"/>
      <c r="U442" s="95"/>
      <c r="V442" s="95"/>
      <c r="W442" s="95"/>
      <c r="X442" s="95"/>
      <c r="Y442" s="95"/>
      <c r="Z442" s="95"/>
      <c r="AA442" s="95"/>
      <c r="AB442" s="95"/>
      <c r="AC442" s="95"/>
      <c r="AD442" s="108"/>
      <c r="AE442" s="96"/>
    </row>
    <row r="443" spans="19:31" ht="12" customHeight="1" x14ac:dyDescent="0.2">
      <c r="S443" s="107"/>
      <c r="T443" s="107"/>
      <c r="U443" s="95"/>
      <c r="V443" s="95"/>
      <c r="W443" s="95"/>
      <c r="X443" s="95"/>
      <c r="Y443" s="95"/>
      <c r="Z443" s="95"/>
      <c r="AA443" s="95"/>
      <c r="AB443" s="95"/>
      <c r="AC443" s="95"/>
      <c r="AE443" s="96"/>
    </row>
    <row r="444" spans="19:31" ht="12" customHeight="1" x14ac:dyDescent="0.2">
      <c r="S444" s="107"/>
      <c r="T444" s="107"/>
      <c r="U444" s="95"/>
      <c r="V444" s="95"/>
      <c r="W444" s="95"/>
      <c r="X444" s="95"/>
      <c r="Y444" s="95"/>
      <c r="Z444" s="95"/>
      <c r="AA444" s="95"/>
      <c r="AB444" s="95"/>
      <c r="AC444" s="95"/>
      <c r="AD444" s="108"/>
      <c r="AE444" s="96"/>
    </row>
    <row r="445" spans="19:31" ht="12" customHeight="1" x14ac:dyDescent="0.2">
      <c r="S445" s="107"/>
      <c r="T445" s="107"/>
      <c r="U445" s="95"/>
      <c r="V445" s="95"/>
      <c r="W445" s="95"/>
      <c r="X445" s="95"/>
      <c r="Y445" s="95"/>
      <c r="Z445" s="95"/>
      <c r="AA445" s="95"/>
      <c r="AB445" s="95"/>
      <c r="AC445" s="95"/>
      <c r="AD445" s="108"/>
      <c r="AE445" s="96"/>
    </row>
    <row r="446" spans="19:31" ht="12" customHeight="1" x14ac:dyDescent="0.2">
      <c r="S446" s="107"/>
      <c r="T446" s="107"/>
      <c r="U446" s="95"/>
      <c r="V446" s="95"/>
      <c r="W446" s="95"/>
      <c r="X446" s="95"/>
      <c r="Y446" s="95"/>
      <c r="Z446" s="95"/>
      <c r="AA446" s="95"/>
      <c r="AB446" s="95"/>
      <c r="AC446" s="95"/>
      <c r="AE446" s="96"/>
    </row>
    <row r="447" spans="19:31" ht="12" customHeight="1" x14ac:dyDescent="0.2">
      <c r="S447" s="107"/>
      <c r="T447" s="107"/>
      <c r="U447" s="95"/>
      <c r="V447" s="95"/>
      <c r="W447" s="95"/>
      <c r="X447" s="95"/>
      <c r="Y447" s="95"/>
      <c r="Z447" s="95"/>
      <c r="AA447" s="95"/>
      <c r="AB447" s="95"/>
      <c r="AC447" s="95"/>
      <c r="AD447" s="108"/>
      <c r="AE447" s="96"/>
    </row>
    <row r="448" spans="19:31" ht="12" customHeight="1" x14ac:dyDescent="0.2">
      <c r="S448" s="107"/>
      <c r="T448" s="107"/>
      <c r="U448" s="95"/>
      <c r="V448" s="95"/>
      <c r="W448" s="95"/>
      <c r="X448" s="95"/>
      <c r="Y448" s="95"/>
      <c r="Z448" s="95"/>
      <c r="AA448" s="95"/>
      <c r="AB448" s="95"/>
      <c r="AC448" s="95"/>
      <c r="AD448" s="108"/>
      <c r="AE448" s="96"/>
    </row>
    <row r="449" spans="19:31" ht="12" customHeight="1" x14ac:dyDescent="0.2">
      <c r="S449" s="107"/>
      <c r="T449" s="107"/>
      <c r="U449" s="95"/>
      <c r="V449" s="95"/>
      <c r="W449" s="95"/>
      <c r="X449" s="95"/>
      <c r="Y449" s="95"/>
      <c r="Z449" s="95"/>
      <c r="AA449" s="95"/>
      <c r="AB449" s="95"/>
      <c r="AC449" s="95"/>
      <c r="AD449" s="108"/>
      <c r="AE449" s="96"/>
    </row>
    <row r="450" spans="19:31" ht="12" customHeight="1" x14ac:dyDescent="0.2">
      <c r="S450" s="107"/>
      <c r="T450" s="107"/>
      <c r="U450" s="95"/>
      <c r="V450" s="95"/>
      <c r="W450" s="95"/>
      <c r="X450" s="95"/>
      <c r="Y450" s="95"/>
      <c r="Z450" s="95"/>
      <c r="AA450" s="95"/>
      <c r="AB450" s="95"/>
      <c r="AC450" s="95"/>
      <c r="AE450" s="96"/>
    </row>
    <row r="451" spans="19:31" ht="12" customHeight="1" x14ac:dyDescent="0.2">
      <c r="S451" s="107"/>
      <c r="T451" s="107"/>
      <c r="U451" s="95"/>
      <c r="V451" s="95"/>
      <c r="W451" s="95"/>
      <c r="X451" s="95"/>
      <c r="Y451" s="95"/>
      <c r="Z451" s="95"/>
      <c r="AA451" s="95"/>
      <c r="AB451" s="95"/>
      <c r="AC451" s="95"/>
      <c r="AD451" s="108"/>
      <c r="AE451" s="96"/>
    </row>
    <row r="452" spans="19:31" ht="12" customHeight="1" x14ac:dyDescent="0.2">
      <c r="S452" s="107"/>
      <c r="T452" s="107"/>
      <c r="U452" s="95"/>
      <c r="V452" s="95"/>
      <c r="W452" s="95"/>
      <c r="X452" s="95"/>
      <c r="Y452" s="95"/>
      <c r="Z452" s="95"/>
      <c r="AA452" s="95"/>
      <c r="AB452" s="95"/>
      <c r="AC452" s="95"/>
      <c r="AD452" s="108"/>
      <c r="AE452" s="96"/>
    </row>
    <row r="453" spans="19:31" ht="12" customHeight="1" x14ac:dyDescent="0.2">
      <c r="S453" s="107"/>
      <c r="T453" s="107"/>
      <c r="U453" s="95"/>
      <c r="V453" s="95"/>
      <c r="W453" s="95"/>
      <c r="X453" s="95"/>
      <c r="Y453" s="95"/>
      <c r="Z453" s="95"/>
      <c r="AA453" s="95"/>
      <c r="AB453" s="95"/>
      <c r="AC453" s="95"/>
      <c r="AE453" s="96"/>
    </row>
    <row r="454" spans="19:31" ht="12" customHeight="1" x14ac:dyDescent="0.2">
      <c r="S454" s="107"/>
      <c r="T454" s="107"/>
      <c r="U454" s="95"/>
      <c r="V454" s="95"/>
      <c r="W454" s="95"/>
      <c r="X454" s="95"/>
      <c r="Y454" s="95"/>
      <c r="Z454" s="95"/>
      <c r="AA454" s="95"/>
      <c r="AB454" s="95"/>
      <c r="AC454" s="95"/>
      <c r="AD454" s="108"/>
      <c r="AE454" s="96"/>
    </row>
    <row r="455" spans="19:31" ht="12" customHeight="1" x14ac:dyDescent="0.2">
      <c r="S455" s="107"/>
      <c r="T455" s="107"/>
      <c r="U455" s="95"/>
      <c r="V455" s="95"/>
      <c r="W455" s="95"/>
      <c r="X455" s="95"/>
      <c r="Y455" s="95"/>
      <c r="Z455" s="95"/>
      <c r="AA455" s="95"/>
      <c r="AB455" s="95"/>
      <c r="AC455" s="95"/>
      <c r="AD455" s="108"/>
      <c r="AE455" s="96"/>
    </row>
    <row r="456" spans="19:31" ht="12" customHeight="1" x14ac:dyDescent="0.2">
      <c r="S456" s="107"/>
      <c r="T456" s="107"/>
      <c r="U456" s="95"/>
      <c r="V456" s="95"/>
      <c r="W456" s="95"/>
      <c r="X456" s="95"/>
      <c r="Y456" s="95"/>
      <c r="Z456" s="95"/>
      <c r="AA456" s="95"/>
      <c r="AB456" s="95"/>
      <c r="AC456" s="95"/>
      <c r="AE456" s="96"/>
    </row>
    <row r="457" spans="19:31" ht="12" customHeight="1" x14ac:dyDescent="0.2">
      <c r="S457" s="107"/>
      <c r="T457" s="107"/>
      <c r="U457" s="95"/>
      <c r="V457" s="95"/>
      <c r="W457" s="95"/>
      <c r="X457" s="95"/>
      <c r="Y457" s="95"/>
      <c r="Z457" s="95"/>
      <c r="AA457" s="95"/>
      <c r="AB457" s="95"/>
      <c r="AC457" s="95"/>
      <c r="AD457" s="108"/>
      <c r="AE457" s="96"/>
    </row>
    <row r="458" spans="19:31" ht="12" customHeight="1" x14ac:dyDescent="0.2">
      <c r="S458" s="107"/>
      <c r="T458" s="107"/>
      <c r="U458" s="95"/>
      <c r="V458" s="95"/>
      <c r="W458" s="95"/>
      <c r="X458" s="95"/>
      <c r="Y458" s="95"/>
      <c r="Z458" s="95"/>
      <c r="AA458" s="95"/>
      <c r="AB458" s="95"/>
      <c r="AC458" s="95"/>
      <c r="AD458" s="108"/>
      <c r="AE458" s="96"/>
    </row>
    <row r="459" spans="19:31" ht="12" customHeight="1" x14ac:dyDescent="0.2">
      <c r="S459" s="107"/>
      <c r="T459" s="107"/>
      <c r="U459" s="95"/>
      <c r="V459" s="95"/>
      <c r="W459" s="95"/>
      <c r="X459" s="95"/>
      <c r="Y459" s="95"/>
      <c r="Z459" s="95"/>
      <c r="AA459" s="95"/>
      <c r="AB459" s="95"/>
      <c r="AC459" s="95"/>
      <c r="AE459" s="96"/>
    </row>
    <row r="460" spans="19:31" ht="12" customHeight="1" x14ac:dyDescent="0.2">
      <c r="S460" s="107"/>
      <c r="T460" s="107"/>
      <c r="U460" s="95"/>
      <c r="V460" s="95"/>
      <c r="W460" s="95"/>
      <c r="X460" s="95"/>
      <c r="Y460" s="95"/>
      <c r="Z460" s="95"/>
      <c r="AA460" s="95"/>
      <c r="AB460" s="95"/>
      <c r="AC460" s="95"/>
      <c r="AD460" s="108"/>
      <c r="AE460" s="96"/>
    </row>
    <row r="461" spans="19:31" ht="12" customHeight="1" x14ac:dyDescent="0.2">
      <c r="S461" s="107"/>
      <c r="T461" s="107"/>
      <c r="U461" s="95"/>
      <c r="V461" s="95"/>
      <c r="W461" s="95"/>
      <c r="X461" s="95"/>
      <c r="Y461" s="95"/>
      <c r="Z461" s="95"/>
      <c r="AA461" s="95"/>
      <c r="AB461" s="95"/>
      <c r="AC461" s="95"/>
      <c r="AD461" s="108"/>
      <c r="AE461" s="96"/>
    </row>
    <row r="462" spans="19:31" ht="12" customHeight="1" x14ac:dyDescent="0.2">
      <c r="S462" s="107"/>
      <c r="T462" s="107"/>
      <c r="U462" s="95"/>
      <c r="V462" s="95"/>
      <c r="W462" s="95"/>
      <c r="X462" s="95"/>
      <c r="Y462" s="95"/>
      <c r="Z462" s="95"/>
      <c r="AA462" s="95"/>
      <c r="AB462" s="95"/>
      <c r="AC462" s="95"/>
      <c r="AE462" s="96"/>
    </row>
    <row r="463" spans="19:31" ht="12" customHeight="1" x14ac:dyDescent="0.2">
      <c r="S463" s="107"/>
      <c r="T463" s="107"/>
      <c r="U463" s="95"/>
      <c r="V463" s="95"/>
      <c r="W463" s="95"/>
      <c r="X463" s="95"/>
      <c r="Y463" s="95"/>
      <c r="Z463" s="95"/>
      <c r="AA463" s="95"/>
      <c r="AB463" s="95"/>
      <c r="AC463" s="95"/>
      <c r="AD463" s="108"/>
      <c r="AE463" s="96"/>
    </row>
    <row r="464" spans="19:31" ht="12" customHeight="1" x14ac:dyDescent="0.2">
      <c r="S464" s="107"/>
      <c r="T464" s="107"/>
      <c r="U464" s="95"/>
      <c r="V464" s="95"/>
      <c r="W464" s="95"/>
      <c r="X464" s="95"/>
      <c r="Y464" s="95"/>
      <c r="Z464" s="95"/>
      <c r="AA464" s="95"/>
      <c r="AB464" s="95"/>
      <c r="AC464" s="95"/>
      <c r="AD464" s="108"/>
      <c r="AE464" s="96"/>
    </row>
    <row r="465" spans="1:31" ht="12" customHeight="1" x14ac:dyDescent="0.2">
      <c r="S465" s="107"/>
      <c r="T465" s="107"/>
      <c r="U465" s="95"/>
      <c r="V465" s="95"/>
      <c r="W465" s="95"/>
      <c r="X465" s="95"/>
      <c r="Y465" s="95"/>
      <c r="Z465" s="95"/>
      <c r="AA465" s="95"/>
      <c r="AB465" s="95"/>
      <c r="AC465" s="95"/>
      <c r="AD465" s="108"/>
      <c r="AE465" s="96"/>
    </row>
    <row r="466" spans="1:31" ht="12" customHeight="1" x14ac:dyDescent="0.2">
      <c r="S466" s="107"/>
      <c r="T466" s="107"/>
      <c r="U466" s="95"/>
      <c r="V466" s="95"/>
      <c r="W466" s="95"/>
      <c r="X466" s="95"/>
      <c r="Y466" s="95"/>
      <c r="Z466" s="95"/>
      <c r="AA466" s="95"/>
      <c r="AB466" s="95"/>
      <c r="AC466" s="95"/>
      <c r="AE466" s="96"/>
    </row>
    <row r="467" spans="1:31" ht="12" customHeight="1" x14ac:dyDescent="0.2">
      <c r="S467" s="107"/>
      <c r="T467" s="107"/>
      <c r="U467" s="95"/>
      <c r="V467" s="95"/>
      <c r="W467" s="95"/>
      <c r="X467" s="95"/>
      <c r="Y467" s="95"/>
      <c r="Z467" s="95"/>
      <c r="AA467" s="95"/>
      <c r="AB467" s="95"/>
      <c r="AC467" s="95"/>
      <c r="AD467" s="108"/>
      <c r="AE467" s="96"/>
    </row>
    <row r="468" spans="1:31" ht="12" customHeight="1" x14ac:dyDescent="0.2">
      <c r="S468" s="107"/>
      <c r="T468" s="107"/>
      <c r="U468" s="95"/>
      <c r="V468" s="95"/>
      <c r="W468" s="95"/>
      <c r="X468" s="95"/>
      <c r="Y468" s="95"/>
      <c r="Z468" s="95"/>
      <c r="AA468" s="95"/>
      <c r="AB468" s="95"/>
      <c r="AC468" s="95"/>
      <c r="AD468" s="108"/>
      <c r="AE468" s="96"/>
    </row>
    <row r="469" spans="1:31" ht="12" customHeight="1" x14ac:dyDescent="0.2">
      <c r="S469" s="107"/>
      <c r="T469" s="107"/>
      <c r="U469" s="95"/>
      <c r="V469" s="95"/>
      <c r="W469" s="95"/>
      <c r="X469" s="95"/>
      <c r="Y469" s="95"/>
      <c r="Z469" s="95"/>
      <c r="AA469" s="95"/>
      <c r="AB469" s="95"/>
      <c r="AC469" s="95"/>
      <c r="AD469" s="108"/>
      <c r="AE469" s="96"/>
    </row>
    <row r="470" spans="1:31" ht="12" customHeight="1" x14ac:dyDescent="0.2">
      <c r="S470" s="107"/>
      <c r="T470" s="107"/>
      <c r="U470" s="95"/>
      <c r="V470" s="95"/>
      <c r="W470" s="95"/>
      <c r="X470" s="95"/>
      <c r="Y470" s="95"/>
      <c r="Z470" s="95"/>
      <c r="AA470" s="95"/>
      <c r="AB470" s="95"/>
      <c r="AC470" s="95"/>
      <c r="AD470" s="108"/>
      <c r="AE470" s="96"/>
    </row>
    <row r="471" spans="1:31" ht="12" customHeight="1" x14ac:dyDescent="0.2">
      <c r="S471" s="107"/>
      <c r="T471" s="107"/>
      <c r="U471" s="95"/>
      <c r="V471" s="95"/>
      <c r="W471" s="95"/>
      <c r="X471" s="95"/>
      <c r="Y471" s="95"/>
      <c r="Z471" s="95"/>
      <c r="AA471" s="95"/>
      <c r="AB471" s="95"/>
      <c r="AC471" s="95"/>
      <c r="AE471" s="96"/>
    </row>
    <row r="472" spans="1:31" ht="12" customHeight="1" x14ac:dyDescent="0.2">
      <c r="S472" s="107"/>
      <c r="T472" s="107"/>
      <c r="U472" s="95"/>
      <c r="V472" s="95"/>
      <c r="W472" s="95"/>
      <c r="X472" s="95"/>
      <c r="Y472" s="95"/>
      <c r="Z472" s="95"/>
      <c r="AA472" s="95"/>
      <c r="AB472" s="95"/>
      <c r="AC472" s="95"/>
      <c r="AD472" s="108"/>
      <c r="AE472" s="96"/>
    </row>
    <row r="473" spans="1:31" ht="12" customHeight="1" x14ac:dyDescent="0.2">
      <c r="S473" s="107"/>
      <c r="T473" s="107"/>
      <c r="U473" s="95"/>
      <c r="V473" s="95"/>
      <c r="W473" s="95"/>
      <c r="X473" s="95"/>
      <c r="Y473" s="95"/>
      <c r="Z473" s="95"/>
      <c r="AA473" s="95"/>
      <c r="AB473" s="95"/>
      <c r="AC473" s="95"/>
      <c r="AD473" s="108"/>
      <c r="AE473" s="96"/>
    </row>
    <row r="474" spans="1:31" ht="12" customHeight="1" x14ac:dyDescent="0.2">
      <c r="S474" s="107"/>
      <c r="T474" s="107"/>
      <c r="U474" s="95"/>
      <c r="V474" s="95"/>
      <c r="W474" s="95"/>
      <c r="X474" s="95"/>
      <c r="Y474" s="95"/>
      <c r="Z474" s="95"/>
      <c r="AA474" s="95"/>
      <c r="AB474" s="95"/>
      <c r="AC474" s="95"/>
      <c r="AD474" s="108"/>
      <c r="AE474" s="96"/>
    </row>
    <row r="475" spans="1:31" ht="12" customHeight="1" x14ac:dyDescent="0.2">
      <c r="S475" s="107"/>
      <c r="T475" s="107"/>
      <c r="U475" s="95"/>
      <c r="V475" s="95"/>
      <c r="W475" s="95"/>
      <c r="X475" s="95"/>
      <c r="Y475" s="95"/>
      <c r="Z475" s="95"/>
      <c r="AA475" s="95"/>
      <c r="AB475" s="95"/>
      <c r="AC475" s="95"/>
      <c r="AD475" s="108"/>
      <c r="AE475" s="96"/>
    </row>
    <row r="476" spans="1:31" ht="12" customHeight="1" x14ac:dyDescent="0.2">
      <c r="S476" s="107"/>
      <c r="T476" s="107"/>
      <c r="U476" s="95"/>
      <c r="V476" s="95"/>
      <c r="W476" s="95"/>
      <c r="X476" s="95"/>
      <c r="Y476" s="95"/>
      <c r="Z476" s="95"/>
      <c r="AA476" s="95"/>
      <c r="AB476" s="95"/>
      <c r="AC476" s="95"/>
      <c r="AE476" s="96"/>
    </row>
    <row r="477" spans="1:31" ht="12" customHeight="1" x14ac:dyDescent="0.2">
      <c r="S477" s="107"/>
      <c r="T477" s="107"/>
      <c r="U477" s="95"/>
      <c r="V477" s="95"/>
      <c r="W477" s="95"/>
      <c r="X477" s="95"/>
      <c r="Y477" s="95"/>
      <c r="Z477" s="95"/>
      <c r="AA477" s="95"/>
      <c r="AB477" s="95"/>
      <c r="AC477" s="95"/>
      <c r="AD477" s="108"/>
      <c r="AE477" s="96"/>
    </row>
    <row r="478" spans="1:31" s="101" customFormat="1" ht="12" customHeight="1" x14ac:dyDescent="0.2">
      <c r="A478" s="75"/>
      <c r="B478" s="75"/>
      <c r="C478" s="75"/>
      <c r="D478" s="75"/>
      <c r="E478" s="75"/>
      <c r="F478" s="75"/>
      <c r="G478" s="75"/>
      <c r="H478" s="75"/>
      <c r="I478" s="75"/>
      <c r="J478" s="75"/>
      <c r="K478" s="75"/>
      <c r="L478" s="75"/>
      <c r="M478" s="75"/>
      <c r="N478" s="75"/>
      <c r="O478" s="75"/>
      <c r="P478" s="75"/>
      <c r="Q478" s="75"/>
      <c r="S478" s="107"/>
      <c r="T478" s="107"/>
      <c r="U478" s="95"/>
      <c r="V478" s="95"/>
      <c r="W478" s="95"/>
      <c r="X478" s="95"/>
      <c r="Y478" s="95"/>
      <c r="Z478" s="95"/>
      <c r="AA478" s="95"/>
      <c r="AB478" s="95"/>
      <c r="AC478" s="95"/>
      <c r="AD478" s="108"/>
      <c r="AE478" s="96"/>
    </row>
    <row r="479" spans="1:31" s="101" customFormat="1" ht="12" customHeight="1" x14ac:dyDescent="0.2">
      <c r="A479" s="75"/>
      <c r="B479" s="75"/>
      <c r="C479" s="75"/>
      <c r="D479" s="75"/>
      <c r="E479" s="75"/>
      <c r="F479" s="75"/>
      <c r="G479" s="75"/>
      <c r="H479" s="75"/>
      <c r="I479" s="75"/>
      <c r="J479" s="75"/>
      <c r="K479" s="75"/>
      <c r="L479" s="75"/>
      <c r="M479" s="75"/>
      <c r="N479" s="75"/>
      <c r="O479" s="75"/>
      <c r="P479" s="75"/>
      <c r="Q479" s="75"/>
      <c r="S479" s="110"/>
      <c r="T479" s="110"/>
      <c r="U479" s="95"/>
      <c r="V479" s="95"/>
      <c r="W479" s="95"/>
      <c r="X479" s="95"/>
      <c r="Y479" s="95"/>
      <c r="Z479" s="95"/>
      <c r="AA479" s="95"/>
      <c r="AB479" s="95"/>
      <c r="AC479" s="95"/>
      <c r="AD479" s="109"/>
      <c r="AE479" s="96"/>
    </row>
    <row r="480" spans="1:31" ht="12" customHeight="1" x14ac:dyDescent="0.2">
      <c r="S480" s="107"/>
      <c r="T480" s="107"/>
      <c r="U480" s="95"/>
      <c r="V480" s="95"/>
      <c r="W480" s="95"/>
      <c r="X480" s="95"/>
      <c r="Y480" s="95"/>
      <c r="Z480" s="95"/>
      <c r="AA480" s="95"/>
      <c r="AB480" s="95"/>
      <c r="AC480" s="95"/>
      <c r="AD480" s="108"/>
      <c r="AE480" s="96"/>
    </row>
    <row r="481" spans="1:31" ht="12" customHeight="1" x14ac:dyDescent="0.2">
      <c r="S481" s="107"/>
      <c r="T481" s="107"/>
      <c r="U481" s="95"/>
      <c r="V481" s="95"/>
      <c r="W481" s="95"/>
      <c r="X481" s="95"/>
      <c r="Y481" s="95"/>
      <c r="Z481" s="95"/>
      <c r="AA481" s="95"/>
      <c r="AB481" s="95"/>
      <c r="AC481" s="95"/>
      <c r="AD481" s="108"/>
      <c r="AE481" s="96"/>
    </row>
    <row r="482" spans="1:31" ht="12" customHeight="1" x14ac:dyDescent="0.2">
      <c r="S482" s="107"/>
      <c r="T482" s="107"/>
      <c r="U482" s="95"/>
      <c r="V482" s="95"/>
      <c r="W482" s="95"/>
      <c r="X482" s="95"/>
      <c r="Y482" s="95"/>
      <c r="Z482" s="95"/>
      <c r="AA482" s="95"/>
      <c r="AB482" s="95"/>
      <c r="AC482" s="95"/>
      <c r="AD482" s="108"/>
      <c r="AE482" s="96"/>
    </row>
    <row r="483" spans="1:31" ht="12" customHeight="1" x14ac:dyDescent="0.2">
      <c r="S483" s="107"/>
      <c r="T483" s="107"/>
      <c r="U483" s="95"/>
      <c r="V483" s="95"/>
      <c r="W483" s="95"/>
      <c r="X483" s="95"/>
      <c r="Y483" s="95"/>
      <c r="Z483" s="95"/>
      <c r="AA483" s="95"/>
      <c r="AB483" s="95"/>
      <c r="AC483" s="95"/>
      <c r="AD483" s="108"/>
      <c r="AE483" s="96"/>
    </row>
    <row r="484" spans="1:31" ht="12" customHeight="1" x14ac:dyDescent="0.2">
      <c r="S484" s="107"/>
      <c r="T484" s="107"/>
      <c r="U484" s="95"/>
      <c r="V484" s="95"/>
      <c r="W484" s="95"/>
      <c r="X484" s="95"/>
      <c r="Y484" s="95"/>
      <c r="Z484" s="95"/>
      <c r="AA484" s="95"/>
      <c r="AB484" s="95"/>
      <c r="AC484" s="95"/>
      <c r="AE484" s="96"/>
    </row>
    <row r="485" spans="1:31" ht="12" customHeight="1" x14ac:dyDescent="0.2">
      <c r="S485" s="107"/>
      <c r="T485" s="107"/>
      <c r="U485" s="95"/>
      <c r="V485" s="95"/>
      <c r="W485" s="95"/>
      <c r="X485" s="95"/>
      <c r="Y485" s="95"/>
      <c r="Z485" s="95"/>
      <c r="AA485" s="95"/>
      <c r="AB485" s="95"/>
      <c r="AC485" s="95"/>
      <c r="AD485" s="108"/>
      <c r="AE485" s="96"/>
    </row>
    <row r="486" spans="1:31" ht="12" customHeight="1" x14ac:dyDescent="0.2">
      <c r="S486" s="107"/>
      <c r="T486" s="107"/>
      <c r="U486" s="95"/>
      <c r="V486" s="95"/>
      <c r="W486" s="95"/>
      <c r="X486" s="95"/>
      <c r="Y486" s="95"/>
      <c r="Z486" s="95"/>
      <c r="AA486" s="95"/>
      <c r="AB486" s="95"/>
      <c r="AC486" s="95"/>
      <c r="AD486" s="108"/>
      <c r="AE486" s="96"/>
    </row>
    <row r="487" spans="1:31" ht="12" customHeight="1" x14ac:dyDescent="0.2">
      <c r="U487" s="95"/>
      <c r="V487" s="95"/>
      <c r="W487" s="95"/>
      <c r="X487" s="95"/>
      <c r="Y487" s="95"/>
      <c r="Z487" s="95"/>
      <c r="AA487" s="95"/>
      <c r="AB487" s="95"/>
      <c r="AC487" s="95"/>
      <c r="AE487" s="96"/>
    </row>
    <row r="488" spans="1:31" ht="12" customHeight="1" x14ac:dyDescent="0.2">
      <c r="S488" s="107"/>
      <c r="T488" s="107"/>
      <c r="U488" s="95"/>
      <c r="V488" s="95"/>
      <c r="W488" s="95"/>
      <c r="X488" s="95"/>
      <c r="Y488" s="95"/>
      <c r="Z488" s="95"/>
      <c r="AA488" s="95"/>
      <c r="AB488" s="95"/>
      <c r="AC488" s="95"/>
      <c r="AD488" s="108"/>
      <c r="AE488" s="96"/>
    </row>
    <row r="489" spans="1:31" s="101" customFormat="1" ht="12" customHeight="1" x14ac:dyDescent="0.2">
      <c r="A489" s="75"/>
      <c r="B489" s="75"/>
      <c r="C489" s="75"/>
      <c r="D489" s="75"/>
      <c r="E489" s="75"/>
      <c r="F489" s="75"/>
      <c r="G489" s="75"/>
      <c r="H489" s="75"/>
      <c r="I489" s="75"/>
      <c r="J489" s="75"/>
      <c r="K489" s="75"/>
      <c r="L489" s="75"/>
      <c r="M489" s="75"/>
      <c r="N489" s="75"/>
      <c r="O489" s="75"/>
      <c r="P489" s="75"/>
      <c r="Q489" s="75"/>
      <c r="S489" s="107"/>
      <c r="T489" s="107"/>
      <c r="U489" s="95"/>
      <c r="V489" s="95"/>
      <c r="W489" s="95"/>
      <c r="X489" s="95"/>
      <c r="Y489" s="95"/>
      <c r="Z489" s="95"/>
      <c r="AA489" s="95"/>
      <c r="AB489" s="95"/>
      <c r="AC489" s="95"/>
      <c r="AD489" s="108"/>
      <c r="AE489" s="96"/>
    </row>
    <row r="490" spans="1:31" s="101" customFormat="1" ht="12" customHeight="1" x14ac:dyDescent="0.2">
      <c r="A490" s="75"/>
      <c r="B490" s="75"/>
      <c r="C490" s="75"/>
      <c r="D490" s="75"/>
      <c r="E490" s="75"/>
      <c r="F490" s="75"/>
      <c r="G490" s="75"/>
      <c r="H490" s="75"/>
      <c r="I490" s="75"/>
      <c r="J490" s="75"/>
      <c r="K490" s="75"/>
      <c r="L490" s="75"/>
      <c r="M490" s="75"/>
      <c r="N490" s="75"/>
      <c r="O490" s="75"/>
      <c r="P490" s="75"/>
      <c r="Q490" s="75"/>
      <c r="S490" s="107"/>
      <c r="T490" s="107"/>
      <c r="U490" s="95"/>
      <c r="V490" s="95"/>
      <c r="W490" s="95"/>
      <c r="X490" s="95"/>
      <c r="Y490" s="95"/>
      <c r="Z490" s="95"/>
      <c r="AA490" s="95"/>
      <c r="AB490" s="95"/>
      <c r="AC490" s="95"/>
      <c r="AD490" s="108"/>
      <c r="AE490" s="96"/>
    </row>
    <row r="491" spans="1:31" s="101" customFormat="1" ht="12" customHeight="1" x14ac:dyDescent="0.2">
      <c r="A491" s="75"/>
      <c r="B491" s="75"/>
      <c r="C491" s="75"/>
      <c r="D491" s="75"/>
      <c r="E491" s="75"/>
      <c r="F491" s="75"/>
      <c r="G491" s="75"/>
      <c r="H491" s="75"/>
      <c r="I491" s="75"/>
      <c r="J491" s="75"/>
      <c r="K491" s="75"/>
      <c r="L491" s="75"/>
      <c r="M491" s="75"/>
      <c r="N491" s="75"/>
      <c r="O491" s="75"/>
      <c r="P491" s="75"/>
      <c r="Q491" s="75"/>
      <c r="S491" s="107"/>
      <c r="T491" s="107"/>
      <c r="U491" s="95"/>
      <c r="V491" s="95"/>
      <c r="W491" s="95"/>
      <c r="X491" s="95"/>
      <c r="Y491" s="95"/>
      <c r="Z491" s="95"/>
      <c r="AA491" s="95"/>
      <c r="AB491" s="95"/>
      <c r="AC491" s="95"/>
      <c r="AD491" s="108"/>
      <c r="AE491" s="96"/>
    </row>
    <row r="492" spans="1:31" ht="12" customHeight="1" x14ac:dyDescent="0.2">
      <c r="S492" s="107"/>
      <c r="T492" s="107"/>
      <c r="U492" s="95"/>
      <c r="V492" s="95"/>
      <c r="W492" s="95"/>
      <c r="X492" s="95"/>
      <c r="Y492" s="95"/>
      <c r="Z492" s="95"/>
      <c r="AA492" s="95"/>
      <c r="AB492" s="95"/>
      <c r="AC492" s="95"/>
      <c r="AD492" s="108"/>
      <c r="AE492" s="96"/>
    </row>
    <row r="493" spans="1:31" ht="12" customHeight="1" x14ac:dyDescent="0.2">
      <c r="U493" s="95"/>
      <c r="V493" s="95"/>
      <c r="W493" s="95"/>
      <c r="X493" s="95"/>
      <c r="Y493" s="95"/>
      <c r="Z493" s="95"/>
      <c r="AA493" s="95"/>
      <c r="AB493" s="95"/>
      <c r="AC493" s="95"/>
      <c r="AE493" s="96"/>
    </row>
    <row r="494" spans="1:31" ht="12" customHeight="1" x14ac:dyDescent="0.2">
      <c r="S494" s="107"/>
      <c r="T494" s="107"/>
      <c r="U494" s="95"/>
      <c r="V494" s="95"/>
      <c r="W494" s="95"/>
      <c r="X494" s="95"/>
      <c r="Y494" s="95"/>
      <c r="Z494" s="95"/>
      <c r="AA494" s="95"/>
      <c r="AB494" s="95"/>
      <c r="AC494" s="95"/>
      <c r="AD494" s="108"/>
      <c r="AE494" s="96"/>
    </row>
    <row r="495" spans="1:31" ht="12" customHeight="1" x14ac:dyDescent="0.2">
      <c r="S495" s="107"/>
      <c r="T495" s="107"/>
      <c r="U495" s="95"/>
      <c r="V495" s="95"/>
      <c r="W495" s="95"/>
      <c r="X495" s="95"/>
      <c r="Y495" s="95"/>
      <c r="Z495" s="95"/>
      <c r="AA495" s="95"/>
      <c r="AB495" s="95"/>
      <c r="AC495" s="95"/>
      <c r="AD495" s="108"/>
      <c r="AE495" s="96"/>
    </row>
    <row r="496" spans="1:31" ht="12" customHeight="1" x14ac:dyDescent="0.2">
      <c r="S496" s="107"/>
      <c r="T496" s="107"/>
      <c r="U496" s="95"/>
      <c r="V496" s="95"/>
      <c r="W496" s="95"/>
      <c r="X496" s="95"/>
      <c r="Y496" s="95"/>
      <c r="Z496" s="95"/>
      <c r="AA496" s="95"/>
      <c r="AB496" s="95"/>
      <c r="AC496" s="95"/>
      <c r="AD496" s="108"/>
      <c r="AE496" s="96"/>
    </row>
    <row r="497" spans="19:31" ht="12" customHeight="1" x14ac:dyDescent="0.2">
      <c r="U497" s="95"/>
      <c r="V497" s="95"/>
      <c r="W497" s="95"/>
      <c r="X497" s="95"/>
      <c r="Y497" s="95"/>
      <c r="Z497" s="95"/>
      <c r="AA497" s="95"/>
      <c r="AB497" s="95"/>
      <c r="AC497" s="95"/>
      <c r="AE497" s="96"/>
    </row>
    <row r="498" spans="19:31" ht="12" customHeight="1" x14ac:dyDescent="0.2">
      <c r="S498" s="107"/>
      <c r="T498" s="107"/>
      <c r="U498" s="95"/>
      <c r="V498" s="95"/>
      <c r="W498" s="95"/>
      <c r="X498" s="95"/>
      <c r="Y498" s="95"/>
      <c r="Z498" s="95"/>
      <c r="AA498" s="95"/>
      <c r="AB498" s="95"/>
      <c r="AC498" s="95"/>
      <c r="AD498" s="108"/>
      <c r="AE498" s="96"/>
    </row>
    <row r="499" spans="19:31" ht="12" customHeight="1" x14ac:dyDescent="0.2">
      <c r="S499" s="107"/>
      <c r="T499" s="107"/>
      <c r="U499" s="95"/>
      <c r="V499" s="95"/>
      <c r="W499" s="95"/>
      <c r="X499" s="95"/>
      <c r="Y499" s="95"/>
      <c r="Z499" s="95"/>
      <c r="AA499" s="95"/>
      <c r="AB499" s="95"/>
      <c r="AC499" s="95"/>
      <c r="AD499" s="108"/>
      <c r="AE499" s="96"/>
    </row>
    <row r="500" spans="19:31" ht="12" customHeight="1" x14ac:dyDescent="0.2">
      <c r="U500" s="95"/>
      <c r="V500" s="95"/>
      <c r="W500" s="95"/>
      <c r="X500" s="95"/>
      <c r="Y500" s="95"/>
      <c r="Z500" s="95"/>
      <c r="AA500" s="95"/>
      <c r="AB500" s="95"/>
      <c r="AC500" s="95"/>
      <c r="AE500" s="96"/>
    </row>
    <row r="501" spans="19:31" ht="12" customHeight="1" x14ac:dyDescent="0.2">
      <c r="S501" s="107"/>
      <c r="T501" s="107"/>
      <c r="U501" s="95"/>
      <c r="V501" s="95"/>
      <c r="W501" s="95"/>
      <c r="X501" s="95"/>
      <c r="Y501" s="95"/>
      <c r="Z501" s="95"/>
      <c r="AA501" s="95"/>
      <c r="AB501" s="95"/>
      <c r="AC501" s="95"/>
      <c r="AD501" s="108"/>
      <c r="AE501" s="96"/>
    </row>
    <row r="502" spans="19:31" ht="12" customHeight="1" x14ac:dyDescent="0.2">
      <c r="S502" s="107"/>
      <c r="T502" s="107"/>
      <c r="U502" s="95"/>
      <c r="V502" s="95"/>
      <c r="W502" s="95"/>
      <c r="X502" s="95"/>
      <c r="Y502" s="95"/>
      <c r="Z502" s="95"/>
      <c r="AA502" s="95"/>
      <c r="AB502" s="95"/>
      <c r="AC502" s="95"/>
      <c r="AD502" s="108"/>
      <c r="AE502" s="96"/>
    </row>
    <row r="503" spans="19:31" ht="12" customHeight="1" x14ac:dyDescent="0.2">
      <c r="U503" s="95"/>
      <c r="V503" s="95"/>
      <c r="W503" s="95"/>
      <c r="X503" s="95"/>
      <c r="Y503" s="95"/>
      <c r="Z503" s="95"/>
      <c r="AA503" s="95"/>
      <c r="AB503" s="95"/>
      <c r="AC503" s="95"/>
      <c r="AE503" s="96"/>
    </row>
    <row r="504" spans="19:31" ht="12" customHeight="1" x14ac:dyDescent="0.2">
      <c r="S504" s="107"/>
      <c r="T504" s="107"/>
      <c r="U504" s="95"/>
      <c r="V504" s="95"/>
      <c r="W504" s="95"/>
      <c r="X504" s="95"/>
      <c r="Y504" s="95"/>
      <c r="Z504" s="95"/>
      <c r="AA504" s="95"/>
      <c r="AB504" s="95"/>
      <c r="AC504" s="95"/>
      <c r="AD504" s="108"/>
      <c r="AE504" s="96"/>
    </row>
    <row r="505" spans="19:31" ht="12" customHeight="1" x14ac:dyDescent="0.2">
      <c r="S505" s="107"/>
      <c r="T505" s="107"/>
      <c r="U505" s="95"/>
      <c r="V505" s="95"/>
      <c r="W505" s="95"/>
      <c r="X505" s="95"/>
      <c r="Y505" s="95"/>
      <c r="Z505" s="95"/>
      <c r="AA505" s="95"/>
      <c r="AB505" s="95"/>
      <c r="AC505" s="95"/>
      <c r="AD505" s="108"/>
      <c r="AE505" s="96"/>
    </row>
    <row r="506" spans="19:31" ht="12" customHeight="1" x14ac:dyDescent="0.2">
      <c r="S506" s="107"/>
      <c r="T506" s="107"/>
      <c r="U506" s="95"/>
      <c r="V506" s="95"/>
      <c r="W506" s="95"/>
      <c r="X506" s="95"/>
      <c r="Y506" s="95"/>
      <c r="Z506" s="95"/>
      <c r="AA506" s="95"/>
      <c r="AB506" s="95"/>
      <c r="AC506" s="95"/>
      <c r="AD506" s="108"/>
      <c r="AE506" s="96"/>
    </row>
    <row r="507" spans="19:31" ht="12" customHeight="1" x14ac:dyDescent="0.2">
      <c r="S507" s="107"/>
      <c r="T507" s="107"/>
      <c r="U507" s="95"/>
      <c r="V507" s="95"/>
      <c r="W507" s="95"/>
      <c r="X507" s="95"/>
      <c r="Y507" s="95"/>
      <c r="Z507" s="95"/>
      <c r="AA507" s="95"/>
      <c r="AB507" s="95"/>
      <c r="AC507" s="95"/>
      <c r="AD507" s="108"/>
      <c r="AE507" s="96"/>
    </row>
    <row r="508" spans="19:31" ht="12" customHeight="1" x14ac:dyDescent="0.2">
      <c r="U508" s="95"/>
      <c r="V508" s="95"/>
      <c r="W508" s="95"/>
      <c r="X508" s="95"/>
      <c r="Y508" s="95"/>
      <c r="Z508" s="95"/>
      <c r="AA508" s="95"/>
      <c r="AB508" s="95"/>
      <c r="AC508" s="95"/>
      <c r="AE508" s="96"/>
    </row>
    <row r="509" spans="19:31" ht="12" customHeight="1" x14ac:dyDescent="0.2">
      <c r="S509" s="107"/>
      <c r="T509" s="107"/>
      <c r="U509" s="95"/>
      <c r="V509" s="95"/>
      <c r="W509" s="95"/>
      <c r="X509" s="95"/>
      <c r="Y509" s="95"/>
      <c r="Z509" s="95"/>
      <c r="AA509" s="95"/>
      <c r="AB509" s="95"/>
      <c r="AC509" s="95"/>
      <c r="AD509" s="108"/>
      <c r="AE509" s="96"/>
    </row>
    <row r="510" spans="19:31" ht="12" customHeight="1" x14ac:dyDescent="0.2">
      <c r="U510" s="95"/>
      <c r="V510" s="95"/>
      <c r="W510" s="95"/>
      <c r="X510" s="95"/>
      <c r="Y510" s="95"/>
      <c r="Z510" s="95"/>
      <c r="AA510" s="95"/>
      <c r="AB510" s="95"/>
      <c r="AC510" s="95"/>
      <c r="AE510" s="96"/>
    </row>
    <row r="511" spans="19:31" ht="12" customHeight="1" x14ac:dyDescent="0.2">
      <c r="S511" s="107"/>
      <c r="T511" s="107"/>
      <c r="U511" s="95"/>
      <c r="V511" s="95"/>
      <c r="W511" s="95"/>
      <c r="X511" s="95"/>
      <c r="Y511" s="95"/>
      <c r="Z511" s="95"/>
      <c r="AA511" s="95"/>
      <c r="AB511" s="95"/>
      <c r="AC511" s="95"/>
      <c r="AD511" s="108"/>
      <c r="AE511" s="96"/>
    </row>
    <row r="512" spans="19:31" ht="12" customHeight="1" x14ac:dyDescent="0.2">
      <c r="U512" s="95"/>
      <c r="V512" s="95"/>
      <c r="W512" s="95"/>
      <c r="X512" s="95"/>
      <c r="Y512" s="95"/>
      <c r="Z512" s="95"/>
      <c r="AA512" s="95"/>
      <c r="AB512" s="95"/>
      <c r="AC512" s="95"/>
      <c r="AE512" s="96"/>
    </row>
    <row r="513" spans="19:31" ht="12" customHeight="1" x14ac:dyDescent="0.2">
      <c r="S513" s="107"/>
      <c r="T513" s="107"/>
      <c r="U513" s="95"/>
      <c r="V513" s="95"/>
      <c r="W513" s="95"/>
      <c r="X513" s="95"/>
      <c r="Y513" s="95"/>
      <c r="Z513" s="95"/>
      <c r="AA513" s="95"/>
      <c r="AB513" s="95"/>
      <c r="AC513" s="95"/>
      <c r="AD513" s="108"/>
      <c r="AE513" s="96"/>
    </row>
    <row r="514" spans="19:31" ht="12" customHeight="1" x14ac:dyDescent="0.2">
      <c r="S514" s="107"/>
      <c r="T514" s="107"/>
      <c r="U514" s="95"/>
      <c r="V514" s="95"/>
      <c r="W514" s="95"/>
      <c r="X514" s="95"/>
      <c r="Y514" s="95"/>
      <c r="Z514" s="95"/>
      <c r="AA514" s="95"/>
      <c r="AB514" s="95"/>
      <c r="AC514" s="95"/>
      <c r="AD514" s="108"/>
      <c r="AE514" s="96"/>
    </row>
    <row r="515" spans="19:31" ht="12" customHeight="1" x14ac:dyDescent="0.2">
      <c r="S515" s="107"/>
      <c r="T515" s="107"/>
      <c r="U515" s="95"/>
      <c r="V515" s="95"/>
      <c r="W515" s="95"/>
      <c r="X515" s="95"/>
      <c r="Y515" s="95"/>
      <c r="Z515" s="95"/>
      <c r="AA515" s="95"/>
      <c r="AB515" s="95"/>
      <c r="AC515" s="95"/>
      <c r="AD515" s="108"/>
      <c r="AE515" s="96"/>
    </row>
    <row r="516" spans="19:31" ht="12" customHeight="1" x14ac:dyDescent="0.2">
      <c r="U516" s="95"/>
      <c r="V516" s="95"/>
      <c r="W516" s="95"/>
      <c r="X516" s="95"/>
      <c r="Y516" s="95"/>
      <c r="Z516" s="95"/>
      <c r="AA516" s="95"/>
      <c r="AB516" s="95"/>
      <c r="AC516" s="95"/>
      <c r="AE516" s="96"/>
    </row>
    <row r="517" spans="19:31" ht="12" customHeight="1" x14ac:dyDescent="0.2">
      <c r="S517" s="107"/>
      <c r="T517" s="107"/>
      <c r="U517" s="95"/>
      <c r="V517" s="95"/>
      <c r="W517" s="95"/>
      <c r="X517" s="95"/>
      <c r="Y517" s="95"/>
      <c r="Z517" s="95"/>
      <c r="AA517" s="95"/>
      <c r="AB517" s="95"/>
      <c r="AC517" s="95"/>
      <c r="AD517" s="108"/>
      <c r="AE517" s="96"/>
    </row>
    <row r="518" spans="19:31" ht="12" customHeight="1" x14ac:dyDescent="0.2">
      <c r="S518" s="107"/>
      <c r="T518" s="107"/>
      <c r="U518" s="95"/>
      <c r="V518" s="95"/>
      <c r="W518" s="95"/>
      <c r="X518" s="95"/>
      <c r="Y518" s="95"/>
      <c r="Z518" s="95"/>
      <c r="AA518" s="95"/>
      <c r="AB518" s="95"/>
      <c r="AC518" s="95"/>
      <c r="AD518" s="108"/>
      <c r="AE518" s="96"/>
    </row>
    <row r="519" spans="19:31" ht="12" customHeight="1" x14ac:dyDescent="0.2">
      <c r="S519" s="107"/>
      <c r="T519" s="107"/>
      <c r="U519" s="95"/>
      <c r="V519" s="95"/>
      <c r="W519" s="95"/>
      <c r="X519" s="95"/>
      <c r="Y519" s="95"/>
      <c r="Z519" s="95"/>
      <c r="AA519" s="95"/>
      <c r="AB519" s="95"/>
      <c r="AC519" s="95"/>
      <c r="AD519" s="108"/>
      <c r="AE519" s="96"/>
    </row>
    <row r="520" spans="19:31" ht="12" customHeight="1" x14ac:dyDescent="0.2">
      <c r="U520" s="95"/>
      <c r="V520" s="95"/>
      <c r="W520" s="95"/>
      <c r="X520" s="95"/>
      <c r="Y520" s="95"/>
      <c r="Z520" s="95"/>
      <c r="AA520" s="95"/>
      <c r="AB520" s="95"/>
      <c r="AC520" s="95"/>
      <c r="AE520" s="96"/>
    </row>
    <row r="521" spans="19:31" ht="12" customHeight="1" x14ac:dyDescent="0.2">
      <c r="S521" s="107"/>
      <c r="T521" s="107"/>
      <c r="U521" s="95"/>
      <c r="V521" s="95"/>
      <c r="W521" s="95"/>
      <c r="X521" s="95"/>
      <c r="Y521" s="95"/>
      <c r="Z521" s="95"/>
      <c r="AA521" s="95"/>
      <c r="AB521" s="95"/>
      <c r="AC521" s="95"/>
      <c r="AD521" s="108"/>
      <c r="AE521" s="96"/>
    </row>
    <row r="522" spans="19:31" ht="12" customHeight="1" x14ac:dyDescent="0.2">
      <c r="S522" s="107"/>
      <c r="T522" s="107"/>
      <c r="U522" s="95"/>
      <c r="V522" s="95"/>
      <c r="W522" s="95"/>
      <c r="X522" s="95"/>
      <c r="Y522" s="95"/>
      <c r="Z522" s="95"/>
      <c r="AA522" s="95"/>
      <c r="AB522" s="95"/>
      <c r="AC522" s="95"/>
      <c r="AD522" s="108"/>
      <c r="AE522" s="96"/>
    </row>
    <row r="523" spans="19:31" ht="12" customHeight="1" x14ac:dyDescent="0.2">
      <c r="S523" s="107"/>
      <c r="T523" s="107"/>
      <c r="U523" s="95"/>
      <c r="V523" s="95"/>
      <c r="W523" s="95"/>
      <c r="X523" s="95"/>
      <c r="Y523" s="95"/>
      <c r="Z523" s="95"/>
      <c r="AA523" s="95"/>
      <c r="AB523" s="95"/>
      <c r="AC523" s="95"/>
      <c r="AD523" s="108"/>
      <c r="AE523" s="96"/>
    </row>
    <row r="524" spans="19:31" ht="12" customHeight="1" x14ac:dyDescent="0.2">
      <c r="U524" s="95"/>
      <c r="V524" s="95"/>
      <c r="W524" s="95"/>
      <c r="X524" s="95"/>
      <c r="Y524" s="95"/>
      <c r="Z524" s="95"/>
      <c r="AA524" s="95"/>
      <c r="AB524" s="95"/>
      <c r="AC524" s="95"/>
      <c r="AE524" s="96"/>
    </row>
    <row r="525" spans="19:31" ht="12" customHeight="1" x14ac:dyDescent="0.2">
      <c r="S525" s="107"/>
      <c r="T525" s="107"/>
      <c r="U525" s="95"/>
      <c r="V525" s="95"/>
      <c r="W525" s="95"/>
      <c r="X525" s="95"/>
      <c r="Y525" s="95"/>
      <c r="Z525" s="95"/>
      <c r="AA525" s="95"/>
      <c r="AB525" s="95"/>
      <c r="AC525" s="95"/>
      <c r="AD525" s="108"/>
      <c r="AE525" s="96"/>
    </row>
    <row r="526" spans="19:31" ht="12" customHeight="1" x14ac:dyDescent="0.2">
      <c r="S526" s="107"/>
      <c r="T526" s="107"/>
      <c r="U526" s="95"/>
      <c r="V526" s="95"/>
      <c r="W526" s="95"/>
      <c r="X526" s="95"/>
      <c r="Y526" s="95"/>
      <c r="Z526" s="95"/>
      <c r="AA526" s="95"/>
      <c r="AB526" s="95"/>
      <c r="AC526" s="95"/>
      <c r="AD526" s="108"/>
      <c r="AE526" s="96"/>
    </row>
    <row r="527" spans="19:31" ht="12" customHeight="1" x14ac:dyDescent="0.2">
      <c r="U527" s="95"/>
      <c r="V527" s="95"/>
      <c r="W527" s="95"/>
      <c r="X527" s="95"/>
      <c r="Y527" s="95"/>
      <c r="Z527" s="95"/>
      <c r="AA527" s="95"/>
      <c r="AB527" s="95"/>
      <c r="AC527" s="95"/>
      <c r="AE527" s="96"/>
    </row>
    <row r="528" spans="19:31" ht="12" customHeight="1" x14ac:dyDescent="0.2">
      <c r="S528" s="107"/>
      <c r="T528" s="107"/>
      <c r="U528" s="95"/>
      <c r="V528" s="95"/>
      <c r="W528" s="95"/>
      <c r="X528" s="95"/>
      <c r="Y528" s="95"/>
      <c r="Z528" s="95"/>
      <c r="AA528" s="95"/>
      <c r="AB528" s="95"/>
      <c r="AC528" s="95"/>
      <c r="AD528" s="108"/>
      <c r="AE528" s="96"/>
    </row>
    <row r="529" spans="19:31" ht="12" customHeight="1" x14ac:dyDescent="0.2">
      <c r="S529" s="107"/>
      <c r="T529" s="107"/>
      <c r="U529" s="95"/>
      <c r="V529" s="95"/>
      <c r="W529" s="95"/>
      <c r="X529" s="95"/>
      <c r="Y529" s="95"/>
      <c r="Z529" s="95"/>
      <c r="AA529" s="95"/>
      <c r="AB529" s="95"/>
      <c r="AC529" s="95"/>
      <c r="AD529" s="108"/>
      <c r="AE529" s="96"/>
    </row>
    <row r="530" spans="19:31" ht="12" customHeight="1" x14ac:dyDescent="0.2">
      <c r="U530" s="95"/>
      <c r="V530" s="95"/>
      <c r="W530" s="95"/>
      <c r="X530" s="95"/>
      <c r="Y530" s="95"/>
      <c r="Z530" s="95"/>
      <c r="AA530" s="95"/>
      <c r="AB530" s="95"/>
      <c r="AC530" s="95"/>
      <c r="AE530" s="96"/>
    </row>
    <row r="531" spans="19:31" ht="12" customHeight="1" x14ac:dyDescent="0.2">
      <c r="S531" s="107"/>
      <c r="T531" s="107"/>
      <c r="U531" s="95"/>
      <c r="V531" s="95"/>
      <c r="W531" s="95"/>
      <c r="X531" s="95"/>
      <c r="Y531" s="95"/>
      <c r="Z531" s="95"/>
      <c r="AA531" s="95"/>
      <c r="AB531" s="95"/>
      <c r="AC531" s="95"/>
      <c r="AD531" s="108"/>
      <c r="AE531" s="96"/>
    </row>
    <row r="532" spans="19:31" ht="12" customHeight="1" x14ac:dyDescent="0.2">
      <c r="S532" s="107"/>
      <c r="T532" s="107"/>
      <c r="U532" s="95"/>
      <c r="V532" s="95"/>
      <c r="W532" s="95"/>
      <c r="X532" s="95"/>
      <c r="Y532" s="95"/>
      <c r="Z532" s="95"/>
      <c r="AA532" s="95"/>
      <c r="AB532" s="95"/>
      <c r="AC532" s="95"/>
      <c r="AD532" s="108"/>
      <c r="AE532" s="96"/>
    </row>
    <row r="533" spans="19:31" ht="12" customHeight="1" x14ac:dyDescent="0.2">
      <c r="U533" s="95"/>
      <c r="V533" s="95"/>
      <c r="W533" s="95"/>
      <c r="X533" s="95"/>
      <c r="Y533" s="95"/>
      <c r="Z533" s="95"/>
      <c r="AA533" s="95"/>
      <c r="AB533" s="95"/>
      <c r="AC533" s="95"/>
      <c r="AE533" s="96"/>
    </row>
    <row r="534" spans="19:31" ht="12" customHeight="1" x14ac:dyDescent="0.2">
      <c r="S534" s="107"/>
      <c r="T534" s="107"/>
      <c r="U534" s="95"/>
      <c r="V534" s="95"/>
      <c r="W534" s="95"/>
      <c r="X534" s="95"/>
      <c r="Y534" s="95"/>
      <c r="Z534" s="95"/>
      <c r="AA534" s="95"/>
      <c r="AB534" s="95"/>
      <c r="AC534" s="95"/>
      <c r="AD534" s="108"/>
      <c r="AE534" s="96"/>
    </row>
    <row r="535" spans="19:31" ht="12" customHeight="1" x14ac:dyDescent="0.2">
      <c r="S535" s="107"/>
      <c r="T535" s="107"/>
      <c r="U535" s="95"/>
      <c r="V535" s="95"/>
      <c r="W535" s="95"/>
      <c r="X535" s="95"/>
      <c r="Y535" s="95"/>
      <c r="Z535" s="95"/>
      <c r="AA535" s="95"/>
      <c r="AB535" s="95"/>
      <c r="AC535" s="95"/>
      <c r="AD535" s="108"/>
      <c r="AE535" s="96"/>
    </row>
    <row r="536" spans="19:31" ht="12" customHeight="1" x14ac:dyDescent="0.2">
      <c r="U536" s="95"/>
      <c r="V536" s="95"/>
      <c r="W536" s="95"/>
      <c r="X536" s="95"/>
      <c r="Y536" s="95"/>
      <c r="Z536" s="95"/>
      <c r="AA536" s="95"/>
      <c r="AB536" s="95"/>
      <c r="AC536" s="95"/>
      <c r="AE536" s="96"/>
    </row>
    <row r="537" spans="19:31" ht="12" customHeight="1" x14ac:dyDescent="0.2">
      <c r="S537" s="107"/>
      <c r="T537" s="107"/>
      <c r="U537" s="95"/>
      <c r="V537" s="95"/>
      <c r="W537" s="95"/>
      <c r="X537" s="95"/>
      <c r="Y537" s="95"/>
      <c r="Z537" s="95"/>
      <c r="AA537" s="95"/>
      <c r="AB537" s="95"/>
      <c r="AC537" s="95"/>
      <c r="AD537" s="108"/>
      <c r="AE537" s="96"/>
    </row>
    <row r="538" spans="19:31" ht="12" customHeight="1" x14ac:dyDescent="0.2">
      <c r="S538" s="107"/>
      <c r="T538" s="107"/>
      <c r="U538" s="95"/>
      <c r="V538" s="95"/>
      <c r="W538" s="95"/>
      <c r="X538" s="95"/>
      <c r="Y538" s="95"/>
      <c r="Z538" s="95"/>
      <c r="AA538" s="95"/>
      <c r="AB538" s="95"/>
      <c r="AC538" s="95"/>
      <c r="AD538" s="108"/>
      <c r="AE538" s="96"/>
    </row>
    <row r="539" spans="19:31" ht="12" customHeight="1" x14ac:dyDescent="0.2">
      <c r="U539" s="95"/>
      <c r="V539" s="95"/>
      <c r="W539" s="95"/>
      <c r="X539" s="95"/>
      <c r="Y539" s="95"/>
      <c r="Z539" s="95"/>
      <c r="AA539" s="95"/>
      <c r="AB539" s="95"/>
      <c r="AC539" s="95"/>
      <c r="AE539" s="96"/>
    </row>
    <row r="540" spans="19:31" ht="12" customHeight="1" x14ac:dyDescent="0.2">
      <c r="S540" s="107"/>
      <c r="T540" s="107"/>
      <c r="U540" s="95"/>
      <c r="V540" s="95"/>
      <c r="W540" s="95"/>
      <c r="X540" s="95"/>
      <c r="Y540" s="95"/>
      <c r="Z540" s="95"/>
      <c r="AA540" s="95"/>
      <c r="AB540" s="95"/>
      <c r="AC540" s="95"/>
      <c r="AD540" s="108"/>
      <c r="AE540" s="96"/>
    </row>
    <row r="541" spans="19:31" ht="12" customHeight="1" x14ac:dyDescent="0.2">
      <c r="S541" s="107"/>
      <c r="T541" s="107"/>
      <c r="U541" s="95"/>
      <c r="V541" s="95"/>
      <c r="W541" s="95"/>
      <c r="X541" s="95"/>
      <c r="Y541" s="95"/>
      <c r="Z541" s="95"/>
      <c r="AA541" s="95"/>
      <c r="AB541" s="95"/>
      <c r="AC541" s="95"/>
      <c r="AD541" s="108"/>
      <c r="AE541" s="96"/>
    </row>
    <row r="542" spans="19:31" ht="12" customHeight="1" x14ac:dyDescent="0.2">
      <c r="S542" s="107"/>
      <c r="T542" s="107"/>
      <c r="U542" s="95"/>
      <c r="V542" s="95"/>
      <c r="W542" s="95"/>
      <c r="X542" s="95"/>
      <c r="Y542" s="95"/>
      <c r="Z542" s="95"/>
      <c r="AA542" s="95"/>
      <c r="AB542" s="95"/>
      <c r="AC542" s="95"/>
      <c r="AD542" s="108"/>
      <c r="AE542" s="96"/>
    </row>
    <row r="543" spans="19:31" ht="12" customHeight="1" x14ac:dyDescent="0.2">
      <c r="U543" s="95"/>
      <c r="V543" s="95"/>
      <c r="W543" s="95"/>
      <c r="X543" s="95"/>
      <c r="Y543" s="95"/>
      <c r="Z543" s="95"/>
      <c r="AA543" s="95"/>
      <c r="AB543" s="95"/>
      <c r="AC543" s="95"/>
      <c r="AE543" s="96"/>
    </row>
    <row r="544" spans="19:31" ht="12" customHeight="1" x14ac:dyDescent="0.2">
      <c r="S544" s="107"/>
      <c r="T544" s="107"/>
      <c r="U544" s="95"/>
      <c r="V544" s="95"/>
      <c r="W544" s="95"/>
      <c r="X544" s="95"/>
      <c r="Y544" s="95"/>
      <c r="Z544" s="95"/>
      <c r="AA544" s="95"/>
      <c r="AB544" s="95"/>
      <c r="AC544" s="95"/>
      <c r="AD544" s="108"/>
      <c r="AE544" s="96"/>
    </row>
    <row r="545" spans="19:31" ht="12" customHeight="1" x14ac:dyDescent="0.2">
      <c r="S545" s="107"/>
      <c r="T545" s="107"/>
      <c r="U545" s="95"/>
      <c r="V545" s="95"/>
      <c r="W545" s="95"/>
      <c r="X545" s="95"/>
      <c r="Y545" s="95"/>
      <c r="Z545" s="95"/>
      <c r="AA545" s="95"/>
      <c r="AB545" s="95"/>
      <c r="AC545" s="95"/>
      <c r="AD545" s="108"/>
      <c r="AE545" s="96"/>
    </row>
    <row r="546" spans="19:31" ht="12" customHeight="1" x14ac:dyDescent="0.2">
      <c r="U546" s="95"/>
      <c r="V546" s="95"/>
      <c r="W546" s="95"/>
      <c r="X546" s="95"/>
      <c r="Y546" s="95"/>
      <c r="Z546" s="95"/>
      <c r="AA546" s="95"/>
      <c r="AB546" s="95"/>
      <c r="AC546" s="95"/>
      <c r="AE546" s="96"/>
    </row>
    <row r="547" spans="19:31" ht="12" customHeight="1" x14ac:dyDescent="0.2">
      <c r="S547" s="107"/>
      <c r="T547" s="107"/>
      <c r="U547" s="95"/>
      <c r="V547" s="95"/>
      <c r="W547" s="95"/>
      <c r="X547" s="95"/>
      <c r="Y547" s="95"/>
      <c r="Z547" s="95"/>
      <c r="AA547" s="95"/>
      <c r="AB547" s="95"/>
      <c r="AC547" s="95"/>
      <c r="AD547" s="108"/>
      <c r="AE547" s="96"/>
    </row>
    <row r="548" spans="19:31" ht="12" customHeight="1" x14ac:dyDescent="0.2">
      <c r="S548" s="107"/>
      <c r="T548" s="107"/>
      <c r="U548" s="95"/>
      <c r="V548" s="95"/>
      <c r="W548" s="95"/>
      <c r="X548" s="95"/>
      <c r="Y548" s="95"/>
      <c r="Z548" s="95"/>
      <c r="AA548" s="95"/>
      <c r="AB548" s="95"/>
      <c r="AC548" s="95"/>
      <c r="AD548" s="108"/>
      <c r="AE548" s="96"/>
    </row>
    <row r="549" spans="19:31" ht="12" customHeight="1" x14ac:dyDescent="0.2">
      <c r="U549" s="95"/>
      <c r="V549" s="95"/>
      <c r="W549" s="95"/>
      <c r="X549" s="95"/>
      <c r="Y549" s="95"/>
      <c r="Z549" s="95"/>
      <c r="AA549" s="95"/>
      <c r="AB549" s="95"/>
      <c r="AC549" s="95"/>
      <c r="AE549" s="96"/>
    </row>
    <row r="550" spans="19:31" ht="12" customHeight="1" x14ac:dyDescent="0.2">
      <c r="S550" s="107"/>
      <c r="T550" s="107"/>
      <c r="U550" s="95"/>
      <c r="V550" s="95"/>
      <c r="W550" s="95"/>
      <c r="X550" s="95"/>
      <c r="Y550" s="95"/>
      <c r="Z550" s="95"/>
      <c r="AA550" s="95"/>
      <c r="AB550" s="95"/>
      <c r="AC550" s="95"/>
      <c r="AD550" s="108"/>
      <c r="AE550" s="96"/>
    </row>
    <row r="551" spans="19:31" ht="12" customHeight="1" x14ac:dyDescent="0.2">
      <c r="S551" s="107"/>
      <c r="T551" s="107"/>
      <c r="U551" s="95"/>
      <c r="V551" s="95"/>
      <c r="W551" s="95"/>
      <c r="X551" s="95"/>
      <c r="Y551" s="95"/>
      <c r="Z551" s="95"/>
      <c r="AA551" s="95"/>
      <c r="AB551" s="95"/>
      <c r="AC551" s="95"/>
      <c r="AD551" s="108"/>
      <c r="AE551" s="96"/>
    </row>
    <row r="552" spans="19:31" ht="12" customHeight="1" x14ac:dyDescent="0.2">
      <c r="S552" s="107"/>
      <c r="T552" s="107"/>
      <c r="U552" s="95"/>
      <c r="V552" s="95"/>
      <c r="W552" s="95"/>
      <c r="X552" s="95"/>
      <c r="Y552" s="95"/>
      <c r="Z552" s="95"/>
      <c r="AA552" s="95"/>
      <c r="AB552" s="95"/>
      <c r="AC552" s="95"/>
      <c r="AD552" s="108"/>
      <c r="AE552" s="96"/>
    </row>
    <row r="553" spans="19:31" ht="12" customHeight="1" x14ac:dyDescent="0.2">
      <c r="U553" s="95"/>
      <c r="V553" s="95"/>
      <c r="W553" s="95"/>
      <c r="X553" s="95"/>
      <c r="Y553" s="95"/>
      <c r="Z553" s="95"/>
      <c r="AA553" s="95"/>
      <c r="AB553" s="95"/>
      <c r="AC553" s="95"/>
      <c r="AE553" s="96"/>
    </row>
    <row r="554" spans="19:31" ht="12" customHeight="1" x14ac:dyDescent="0.2">
      <c r="S554" s="107"/>
      <c r="T554" s="107"/>
      <c r="U554" s="95"/>
      <c r="V554" s="95"/>
      <c r="W554" s="95"/>
      <c r="X554" s="95"/>
      <c r="Y554" s="95"/>
      <c r="Z554" s="95"/>
      <c r="AA554" s="95"/>
      <c r="AB554" s="95"/>
      <c r="AC554" s="95"/>
      <c r="AD554" s="108"/>
      <c r="AE554" s="96"/>
    </row>
    <row r="555" spans="19:31" ht="12" customHeight="1" x14ac:dyDescent="0.2">
      <c r="S555" s="107"/>
      <c r="T555" s="107"/>
      <c r="U555" s="95"/>
      <c r="V555" s="95"/>
      <c r="W555" s="95"/>
      <c r="X555" s="95"/>
      <c r="Y555" s="95"/>
      <c r="Z555" s="95"/>
      <c r="AA555" s="95"/>
      <c r="AB555" s="95"/>
      <c r="AC555" s="95"/>
      <c r="AD555" s="108"/>
      <c r="AE555" s="96"/>
    </row>
    <row r="556" spans="19:31" ht="12" customHeight="1" x14ac:dyDescent="0.2">
      <c r="U556" s="95"/>
      <c r="V556" s="95"/>
      <c r="W556" s="95"/>
      <c r="X556" s="95"/>
      <c r="Y556" s="95"/>
      <c r="Z556" s="95"/>
      <c r="AA556" s="95"/>
      <c r="AB556" s="95"/>
      <c r="AC556" s="95"/>
      <c r="AE556" s="96"/>
    </row>
    <row r="557" spans="19:31" ht="12" customHeight="1" x14ac:dyDescent="0.2">
      <c r="S557" s="107"/>
      <c r="T557" s="107"/>
      <c r="U557" s="95"/>
      <c r="V557" s="95"/>
      <c r="W557" s="95"/>
      <c r="X557" s="95"/>
      <c r="Y557" s="95"/>
      <c r="Z557" s="95"/>
      <c r="AA557" s="95"/>
      <c r="AB557" s="95"/>
      <c r="AC557" s="95"/>
      <c r="AD557" s="108"/>
      <c r="AE557" s="96"/>
    </row>
    <row r="558" spans="19:31" ht="12" customHeight="1" x14ac:dyDescent="0.2">
      <c r="S558" s="106"/>
      <c r="T558" s="106"/>
      <c r="U558" s="106"/>
      <c r="V558" s="95"/>
      <c r="W558" s="95"/>
      <c r="X558" s="95"/>
      <c r="Y558" s="95"/>
      <c r="Z558" s="95"/>
      <c r="AA558" s="95"/>
      <c r="AB558" s="95"/>
      <c r="AC558" s="95"/>
      <c r="AD558" s="112"/>
      <c r="AE558" s="96"/>
    </row>
    <row r="559" spans="19:31" ht="12" customHeight="1" x14ac:dyDescent="0.2">
      <c r="S559" s="107"/>
      <c r="T559" s="107"/>
      <c r="U559" s="95"/>
      <c r="V559" s="95"/>
      <c r="W559" s="95"/>
      <c r="X559" s="95"/>
      <c r="Y559" s="95"/>
      <c r="Z559" s="95"/>
      <c r="AA559" s="95"/>
      <c r="AB559" s="95"/>
      <c r="AC559" s="95"/>
      <c r="AD559" s="108"/>
      <c r="AE559" s="96"/>
    </row>
    <row r="560" spans="19:31" ht="12" customHeight="1" x14ac:dyDescent="0.2">
      <c r="S560" s="106"/>
      <c r="T560" s="87"/>
      <c r="U560" s="87"/>
      <c r="V560" s="95"/>
      <c r="W560" s="95"/>
      <c r="X560" s="95"/>
      <c r="Y560" s="95"/>
      <c r="Z560" s="95"/>
      <c r="AA560" s="95"/>
      <c r="AB560" s="95"/>
      <c r="AC560" s="95"/>
      <c r="AD560" s="88"/>
      <c r="AE560" s="96"/>
    </row>
    <row r="561" spans="19:31" ht="12" customHeight="1" x14ac:dyDescent="0.2">
      <c r="S561" s="107"/>
      <c r="T561" s="107"/>
      <c r="U561" s="95"/>
      <c r="V561" s="95"/>
      <c r="W561" s="95"/>
      <c r="X561" s="95"/>
      <c r="Y561" s="95"/>
      <c r="Z561" s="95"/>
      <c r="AA561" s="95"/>
      <c r="AB561" s="95"/>
      <c r="AC561" s="95"/>
      <c r="AD561" s="108"/>
      <c r="AE561" s="96"/>
    </row>
    <row r="562" spans="19:31" ht="12" customHeight="1" x14ac:dyDescent="0.2">
      <c r="S562" s="107"/>
      <c r="T562" s="107"/>
      <c r="U562" s="95"/>
      <c r="V562" s="95"/>
      <c r="W562" s="95"/>
      <c r="X562" s="95"/>
      <c r="Y562" s="95"/>
      <c r="Z562" s="95"/>
      <c r="AA562" s="95"/>
      <c r="AB562" s="95"/>
      <c r="AC562" s="95"/>
      <c r="AE562" s="96"/>
    </row>
    <row r="563" spans="19:31" ht="12" customHeight="1" x14ac:dyDescent="0.2">
      <c r="S563" s="107"/>
      <c r="T563" s="107"/>
      <c r="U563" s="95"/>
      <c r="V563" s="95"/>
      <c r="W563" s="95"/>
      <c r="X563" s="95"/>
      <c r="Y563" s="95"/>
      <c r="Z563" s="95"/>
      <c r="AA563" s="95"/>
      <c r="AB563" s="95"/>
      <c r="AC563" s="95"/>
      <c r="AD563" s="108"/>
      <c r="AE563" s="96"/>
    </row>
    <row r="564" spans="19:31" ht="12" customHeight="1" x14ac:dyDescent="0.2">
      <c r="S564" s="107"/>
      <c r="T564" s="107"/>
      <c r="U564" s="95"/>
      <c r="V564" s="95"/>
      <c r="W564" s="95"/>
      <c r="X564" s="95"/>
      <c r="Y564" s="95"/>
      <c r="Z564" s="95"/>
      <c r="AA564" s="95"/>
      <c r="AB564" s="95"/>
      <c r="AC564" s="95"/>
      <c r="AD564" s="108"/>
      <c r="AE564" s="96"/>
    </row>
    <row r="565" spans="19:31" ht="12" customHeight="1" x14ac:dyDescent="0.2">
      <c r="S565" s="107"/>
      <c r="T565" s="107"/>
      <c r="U565" s="95"/>
      <c r="V565" s="95"/>
      <c r="W565" s="95"/>
      <c r="X565" s="95"/>
      <c r="Y565" s="95"/>
      <c r="Z565" s="95"/>
      <c r="AA565" s="95"/>
      <c r="AB565" s="95"/>
      <c r="AC565" s="95"/>
      <c r="AD565" s="108"/>
      <c r="AE565" s="96"/>
    </row>
    <row r="566" spans="19:31" ht="12" customHeight="1" x14ac:dyDescent="0.2">
      <c r="S566" s="107"/>
      <c r="T566" s="107"/>
      <c r="U566" s="95"/>
      <c r="V566" s="95"/>
      <c r="W566" s="95"/>
      <c r="X566" s="95"/>
      <c r="Y566" s="95"/>
      <c r="Z566" s="95"/>
      <c r="AA566" s="95"/>
      <c r="AB566" s="95"/>
      <c r="AC566" s="95"/>
      <c r="AE566" s="96"/>
    </row>
    <row r="567" spans="19:31" ht="12" customHeight="1" x14ac:dyDescent="0.2">
      <c r="S567" s="107"/>
      <c r="T567" s="107"/>
      <c r="U567" s="95"/>
      <c r="V567" s="95"/>
      <c r="W567" s="95"/>
      <c r="X567" s="95"/>
      <c r="Y567" s="95"/>
      <c r="Z567" s="95"/>
      <c r="AA567" s="95"/>
      <c r="AB567" s="95"/>
      <c r="AC567" s="95"/>
      <c r="AE567" s="96"/>
    </row>
    <row r="568" spans="19:31" ht="12" customHeight="1" x14ac:dyDescent="0.2">
      <c r="S568" s="107"/>
      <c r="T568" s="107"/>
      <c r="U568" s="95"/>
      <c r="V568" s="95"/>
      <c r="W568" s="95"/>
      <c r="X568" s="95"/>
      <c r="Y568" s="95"/>
      <c r="Z568" s="95"/>
      <c r="AA568" s="95"/>
      <c r="AB568" s="95"/>
      <c r="AC568" s="95"/>
      <c r="AE568" s="96"/>
    </row>
    <row r="569" spans="19:31" ht="12" customHeight="1" x14ac:dyDescent="0.2">
      <c r="S569" s="107"/>
      <c r="T569" s="107"/>
      <c r="U569" s="95"/>
      <c r="V569" s="95"/>
      <c r="W569" s="95"/>
      <c r="X569" s="95"/>
      <c r="Y569" s="95"/>
      <c r="Z569" s="95"/>
      <c r="AA569" s="95"/>
      <c r="AB569" s="95"/>
      <c r="AC569" s="95"/>
      <c r="AE569" s="96"/>
    </row>
    <row r="570" spans="19:31" ht="12" customHeight="1" x14ac:dyDescent="0.2">
      <c r="S570" s="107"/>
      <c r="T570" s="107"/>
      <c r="U570" s="95"/>
      <c r="V570" s="95"/>
      <c r="W570" s="95"/>
      <c r="X570" s="95"/>
      <c r="Y570" s="95"/>
      <c r="Z570" s="95"/>
      <c r="AA570" s="95"/>
      <c r="AB570" s="95"/>
      <c r="AC570" s="95"/>
      <c r="AE570" s="96"/>
    </row>
    <row r="571" spans="19:31" ht="12" customHeight="1" x14ac:dyDescent="0.2">
      <c r="S571" s="107"/>
      <c r="T571" s="107"/>
      <c r="U571" s="95"/>
      <c r="V571" s="95"/>
      <c r="W571" s="95"/>
      <c r="X571" s="95"/>
      <c r="Y571" s="95"/>
      <c r="Z571" s="95"/>
      <c r="AA571" s="95"/>
      <c r="AB571" s="95"/>
      <c r="AC571" s="95"/>
      <c r="AD571" s="108"/>
      <c r="AE571" s="96"/>
    </row>
    <row r="572" spans="19:31" ht="12" customHeight="1" x14ac:dyDescent="0.2">
      <c r="S572" s="107"/>
      <c r="T572" s="107"/>
      <c r="U572" s="95"/>
      <c r="V572" s="95"/>
      <c r="W572" s="95"/>
      <c r="X572" s="95"/>
      <c r="Y572" s="95"/>
      <c r="Z572" s="95"/>
      <c r="AA572" s="95"/>
      <c r="AB572" s="95"/>
      <c r="AC572" s="95"/>
      <c r="AD572" s="108"/>
      <c r="AE572" s="96"/>
    </row>
    <row r="573" spans="19:31" ht="12" customHeight="1" x14ac:dyDescent="0.2">
      <c r="S573" s="107"/>
      <c r="T573" s="107"/>
      <c r="U573" s="95"/>
      <c r="V573" s="95"/>
      <c r="W573" s="95"/>
      <c r="X573" s="95"/>
      <c r="Y573" s="95"/>
      <c r="Z573" s="95"/>
      <c r="AA573" s="95"/>
      <c r="AB573" s="95"/>
      <c r="AC573" s="95"/>
      <c r="AE573" s="96"/>
    </row>
    <row r="574" spans="19:31" ht="12" customHeight="1" x14ac:dyDescent="0.2">
      <c r="S574" s="107"/>
      <c r="T574" s="107"/>
      <c r="U574" s="95"/>
      <c r="V574" s="95"/>
      <c r="W574" s="95"/>
      <c r="X574" s="95"/>
      <c r="Y574" s="95"/>
      <c r="Z574" s="95"/>
      <c r="AA574" s="95"/>
      <c r="AB574" s="95"/>
      <c r="AC574" s="95"/>
      <c r="AD574" s="108"/>
      <c r="AE574" s="96"/>
    </row>
    <row r="575" spans="19:31" ht="12" customHeight="1" x14ac:dyDescent="0.2">
      <c r="S575" s="107"/>
      <c r="T575" s="107"/>
      <c r="U575" s="95"/>
      <c r="V575" s="95"/>
      <c r="W575" s="95"/>
      <c r="X575" s="95"/>
      <c r="Y575" s="95"/>
      <c r="Z575" s="95"/>
      <c r="AA575" s="95"/>
      <c r="AB575" s="95"/>
      <c r="AC575" s="95"/>
      <c r="AD575" s="108"/>
      <c r="AE575" s="96"/>
    </row>
    <row r="576" spans="19:31" ht="12" customHeight="1" x14ac:dyDescent="0.2">
      <c r="S576" s="107"/>
      <c r="T576" s="107"/>
      <c r="U576" s="95"/>
      <c r="V576" s="95"/>
      <c r="W576" s="95"/>
      <c r="X576" s="95"/>
      <c r="Y576" s="95"/>
      <c r="Z576" s="95"/>
      <c r="AA576" s="95"/>
      <c r="AB576" s="95"/>
      <c r="AC576" s="95"/>
      <c r="AD576" s="108"/>
      <c r="AE576" s="96"/>
    </row>
    <row r="577" spans="19:31" ht="12" customHeight="1" x14ac:dyDescent="0.2">
      <c r="S577" s="107"/>
      <c r="T577" s="107"/>
      <c r="U577" s="95"/>
      <c r="V577" s="95"/>
      <c r="W577" s="95"/>
      <c r="X577" s="95"/>
      <c r="Y577" s="95"/>
      <c r="Z577" s="95"/>
      <c r="AA577" s="95"/>
      <c r="AB577" s="95"/>
      <c r="AC577" s="95"/>
      <c r="AE577" s="96"/>
    </row>
    <row r="578" spans="19:31" ht="12" customHeight="1" x14ac:dyDescent="0.2">
      <c r="S578" s="107"/>
      <c r="T578" s="107"/>
      <c r="U578" s="95"/>
      <c r="V578" s="95"/>
      <c r="W578" s="95"/>
      <c r="X578" s="95"/>
      <c r="Y578" s="95"/>
      <c r="Z578" s="95"/>
      <c r="AA578" s="95"/>
      <c r="AB578" s="95"/>
      <c r="AC578" s="95"/>
      <c r="AD578" s="108"/>
      <c r="AE578" s="96"/>
    </row>
    <row r="579" spans="19:31" ht="12" customHeight="1" x14ac:dyDescent="0.2">
      <c r="S579" s="107"/>
      <c r="T579" s="107"/>
      <c r="U579" s="95"/>
      <c r="V579" s="95"/>
      <c r="W579" s="95"/>
      <c r="X579" s="95"/>
      <c r="Y579" s="95"/>
      <c r="Z579" s="95"/>
      <c r="AA579" s="95"/>
      <c r="AB579" s="95"/>
      <c r="AC579" s="95"/>
      <c r="AD579" s="108"/>
      <c r="AE579" s="96"/>
    </row>
    <row r="580" spans="19:31" ht="12" customHeight="1" x14ac:dyDescent="0.2">
      <c r="S580" s="107"/>
      <c r="T580" s="107"/>
      <c r="U580" s="95"/>
      <c r="V580" s="95"/>
      <c r="W580" s="95"/>
      <c r="X580" s="95"/>
      <c r="Y580" s="95"/>
      <c r="Z580" s="95"/>
      <c r="AA580" s="95"/>
      <c r="AB580" s="95"/>
      <c r="AC580" s="95"/>
      <c r="AE580" s="96"/>
    </row>
    <row r="581" spans="19:31" ht="12" customHeight="1" x14ac:dyDescent="0.2">
      <c r="S581" s="107"/>
      <c r="T581" s="107"/>
      <c r="U581" s="95"/>
      <c r="V581" s="95"/>
      <c r="W581" s="95"/>
      <c r="X581" s="95"/>
      <c r="Y581" s="95"/>
      <c r="Z581" s="95"/>
      <c r="AA581" s="95"/>
      <c r="AB581" s="95"/>
      <c r="AC581" s="95"/>
      <c r="AD581" s="108"/>
      <c r="AE581" s="96"/>
    </row>
    <row r="582" spans="19:31" ht="12" customHeight="1" x14ac:dyDescent="0.2">
      <c r="S582" s="107"/>
      <c r="T582" s="107"/>
      <c r="U582" s="95"/>
      <c r="V582" s="95"/>
      <c r="W582" s="95"/>
      <c r="X582" s="95"/>
      <c r="Y582" s="95"/>
      <c r="Z582" s="95"/>
      <c r="AA582" s="95"/>
      <c r="AB582" s="95"/>
      <c r="AC582" s="95"/>
      <c r="AD582" s="108"/>
      <c r="AE582" s="96"/>
    </row>
    <row r="583" spans="19:31" ht="12" customHeight="1" x14ac:dyDescent="0.2">
      <c r="S583" s="107"/>
      <c r="T583" s="107"/>
      <c r="U583" s="95"/>
      <c r="V583" s="95"/>
      <c r="W583" s="95"/>
      <c r="X583" s="95"/>
      <c r="Y583" s="95"/>
      <c r="Z583" s="95"/>
      <c r="AA583" s="95"/>
      <c r="AB583" s="95"/>
      <c r="AC583" s="95"/>
      <c r="AE583" s="96"/>
    </row>
    <row r="584" spans="19:31" ht="12" customHeight="1" x14ac:dyDescent="0.2">
      <c r="S584" s="107"/>
      <c r="T584" s="107"/>
      <c r="U584" s="95"/>
      <c r="V584" s="95"/>
      <c r="W584" s="95"/>
      <c r="X584" s="95"/>
      <c r="Y584" s="95"/>
      <c r="Z584" s="95"/>
      <c r="AA584" s="95"/>
      <c r="AB584" s="95"/>
      <c r="AC584" s="95"/>
      <c r="AD584" s="108"/>
      <c r="AE584" s="96"/>
    </row>
    <row r="585" spans="19:31" ht="12" customHeight="1" x14ac:dyDescent="0.2">
      <c r="S585" s="107"/>
      <c r="T585" s="107"/>
      <c r="U585" s="95"/>
      <c r="V585" s="95"/>
      <c r="W585" s="95"/>
      <c r="X585" s="95"/>
      <c r="Y585" s="95"/>
      <c r="Z585" s="95"/>
      <c r="AA585" s="95"/>
      <c r="AB585" s="95"/>
      <c r="AC585" s="95"/>
      <c r="AD585" s="108"/>
      <c r="AE585" s="96"/>
    </row>
    <row r="586" spans="19:31" ht="12" customHeight="1" x14ac:dyDescent="0.2">
      <c r="S586" s="107"/>
      <c r="T586" s="107"/>
      <c r="U586" s="95"/>
      <c r="V586" s="95"/>
      <c r="W586" s="95"/>
      <c r="X586" s="95"/>
      <c r="Y586" s="95"/>
      <c r="Z586" s="95"/>
      <c r="AA586" s="95"/>
      <c r="AB586" s="95"/>
      <c r="AC586" s="95"/>
      <c r="AE586" s="96"/>
    </row>
    <row r="587" spans="19:31" ht="12" customHeight="1" x14ac:dyDescent="0.2">
      <c r="S587" s="107"/>
      <c r="T587" s="107"/>
      <c r="U587" s="95"/>
      <c r="V587" s="95"/>
      <c r="W587" s="95"/>
      <c r="X587" s="95"/>
      <c r="Y587" s="95"/>
      <c r="Z587" s="95"/>
      <c r="AA587" s="95"/>
      <c r="AB587" s="95"/>
      <c r="AC587" s="95"/>
      <c r="AD587" s="108"/>
      <c r="AE587" s="96"/>
    </row>
    <row r="588" spans="19:31" ht="12" customHeight="1" x14ac:dyDescent="0.2">
      <c r="S588" s="107"/>
      <c r="T588" s="107"/>
      <c r="U588" s="95"/>
      <c r="V588" s="95"/>
      <c r="W588" s="95"/>
      <c r="X588" s="95"/>
      <c r="Y588" s="95"/>
      <c r="Z588" s="95"/>
      <c r="AA588" s="95"/>
      <c r="AB588" s="95"/>
      <c r="AC588" s="95"/>
      <c r="AD588" s="108"/>
      <c r="AE588" s="96"/>
    </row>
    <row r="589" spans="19:31" ht="12" customHeight="1" x14ac:dyDescent="0.2">
      <c r="S589" s="107"/>
      <c r="T589" s="107"/>
      <c r="U589" s="95"/>
      <c r="V589" s="95"/>
      <c r="W589" s="95"/>
      <c r="X589" s="95"/>
      <c r="Y589" s="95"/>
      <c r="Z589" s="95"/>
      <c r="AA589" s="95"/>
      <c r="AB589" s="95"/>
      <c r="AC589" s="95"/>
      <c r="AE589" s="96"/>
    </row>
    <row r="590" spans="19:31" ht="12" customHeight="1" x14ac:dyDescent="0.2">
      <c r="S590" s="107"/>
      <c r="T590" s="107"/>
      <c r="U590" s="95"/>
      <c r="V590" s="95"/>
      <c r="W590" s="95"/>
      <c r="X590" s="95"/>
      <c r="Y590" s="95"/>
      <c r="Z590" s="95"/>
      <c r="AA590" s="95"/>
      <c r="AB590" s="95"/>
      <c r="AC590" s="95"/>
      <c r="AD590" s="108"/>
      <c r="AE590" s="96"/>
    </row>
    <row r="591" spans="19:31" ht="12" customHeight="1" x14ac:dyDescent="0.2">
      <c r="S591" s="107"/>
      <c r="T591" s="107"/>
      <c r="U591" s="95"/>
      <c r="V591" s="95"/>
      <c r="W591" s="95"/>
      <c r="X591" s="95"/>
      <c r="Y591" s="95"/>
      <c r="Z591" s="95"/>
      <c r="AA591" s="95"/>
      <c r="AB591" s="95"/>
      <c r="AC591" s="95"/>
      <c r="AD591" s="108"/>
      <c r="AE591" s="96"/>
    </row>
    <row r="592" spans="19:31" ht="12" customHeight="1" x14ac:dyDescent="0.2">
      <c r="S592" s="107"/>
      <c r="T592" s="107"/>
      <c r="U592" s="95"/>
      <c r="V592" s="95"/>
      <c r="W592" s="95"/>
      <c r="X592" s="95"/>
      <c r="Y592" s="95"/>
      <c r="Z592" s="95"/>
      <c r="AA592" s="95"/>
      <c r="AB592" s="95"/>
      <c r="AC592" s="95"/>
      <c r="AE592" s="96"/>
    </row>
    <row r="593" spans="19:31" ht="12" customHeight="1" x14ac:dyDescent="0.2">
      <c r="S593" s="107"/>
      <c r="T593" s="107"/>
      <c r="U593" s="95"/>
      <c r="V593" s="95"/>
      <c r="W593" s="95"/>
      <c r="X593" s="95"/>
      <c r="Y593" s="95"/>
      <c r="Z593" s="95"/>
      <c r="AA593" s="95"/>
      <c r="AB593" s="95"/>
      <c r="AC593" s="95"/>
      <c r="AD593" s="108"/>
      <c r="AE593" s="96"/>
    </row>
    <row r="594" spans="19:31" ht="12" customHeight="1" x14ac:dyDescent="0.2">
      <c r="S594" s="107"/>
      <c r="T594" s="107"/>
      <c r="U594" s="95"/>
      <c r="V594" s="95"/>
      <c r="W594" s="95"/>
      <c r="X594" s="95"/>
      <c r="Y594" s="95"/>
      <c r="Z594" s="95"/>
      <c r="AA594" s="95"/>
      <c r="AB594" s="95"/>
      <c r="AC594" s="95"/>
      <c r="AE594" s="96"/>
    </row>
    <row r="595" spans="19:31" ht="12" customHeight="1" x14ac:dyDescent="0.2">
      <c r="S595" s="107"/>
      <c r="T595" s="107"/>
      <c r="U595" s="95"/>
      <c r="V595" s="95"/>
      <c r="W595" s="95"/>
      <c r="X595" s="95"/>
      <c r="Y595" s="95"/>
      <c r="Z595" s="95"/>
      <c r="AA595" s="95"/>
      <c r="AB595" s="95"/>
      <c r="AC595" s="95"/>
      <c r="AD595" s="108"/>
      <c r="AE595" s="96"/>
    </row>
    <row r="596" spans="19:31" ht="12" customHeight="1" x14ac:dyDescent="0.2">
      <c r="S596" s="107"/>
      <c r="T596" s="107"/>
      <c r="U596" s="95"/>
      <c r="V596" s="95"/>
      <c r="W596" s="95"/>
      <c r="X596" s="95"/>
      <c r="Y596" s="95"/>
      <c r="Z596" s="95"/>
      <c r="AA596" s="95"/>
      <c r="AB596" s="95"/>
      <c r="AC596" s="95"/>
      <c r="AE596" s="96"/>
    </row>
    <row r="597" spans="19:31" ht="12" customHeight="1" x14ac:dyDescent="0.2">
      <c r="S597" s="107"/>
      <c r="T597" s="107"/>
      <c r="U597" s="95"/>
      <c r="V597" s="95"/>
      <c r="W597" s="95"/>
      <c r="X597" s="95"/>
      <c r="Y597" s="95"/>
      <c r="Z597" s="95"/>
      <c r="AA597" s="95"/>
      <c r="AB597" s="95"/>
      <c r="AC597" s="95"/>
      <c r="AD597" s="108"/>
      <c r="AE597" s="96"/>
    </row>
    <row r="598" spans="19:31" ht="12" customHeight="1" x14ac:dyDescent="0.2">
      <c r="S598" s="107"/>
      <c r="T598" s="107"/>
      <c r="U598" s="95"/>
      <c r="V598" s="95"/>
      <c r="W598" s="95"/>
      <c r="X598" s="95"/>
      <c r="Y598" s="95"/>
      <c r="Z598" s="95"/>
      <c r="AA598" s="95"/>
      <c r="AB598" s="95"/>
      <c r="AC598" s="95"/>
      <c r="AD598" s="108"/>
      <c r="AE598" s="96"/>
    </row>
    <row r="599" spans="19:31" ht="12" customHeight="1" x14ac:dyDescent="0.2">
      <c r="S599" s="107"/>
      <c r="T599" s="107"/>
      <c r="U599" s="95"/>
      <c r="V599" s="95"/>
      <c r="W599" s="95"/>
      <c r="X599" s="95"/>
      <c r="Y599" s="95"/>
      <c r="Z599" s="95"/>
      <c r="AA599" s="95"/>
      <c r="AB599" s="95"/>
      <c r="AC599" s="95"/>
      <c r="AE599" s="96"/>
    </row>
    <row r="600" spans="19:31" ht="12" customHeight="1" x14ac:dyDescent="0.2">
      <c r="S600" s="107"/>
      <c r="T600" s="107"/>
      <c r="U600" s="95"/>
      <c r="V600" s="95"/>
      <c r="W600" s="95"/>
      <c r="X600" s="95"/>
      <c r="Y600" s="95"/>
      <c r="Z600" s="95"/>
      <c r="AA600" s="95"/>
      <c r="AB600" s="95"/>
      <c r="AC600" s="95"/>
      <c r="AD600" s="108"/>
      <c r="AE600" s="96"/>
    </row>
    <row r="601" spans="19:31" ht="12" customHeight="1" x14ac:dyDescent="0.2">
      <c r="S601" s="107"/>
      <c r="T601" s="107"/>
      <c r="U601" s="95"/>
      <c r="V601" s="95"/>
      <c r="W601" s="95"/>
      <c r="X601" s="95"/>
      <c r="Y601" s="95"/>
      <c r="Z601" s="95"/>
      <c r="AA601" s="95"/>
      <c r="AB601" s="95"/>
      <c r="AC601" s="95"/>
      <c r="AD601" s="108"/>
      <c r="AE601" s="96"/>
    </row>
    <row r="602" spans="19:31" ht="12" customHeight="1" x14ac:dyDescent="0.2">
      <c r="S602" s="107"/>
      <c r="T602" s="107"/>
      <c r="U602" s="95"/>
      <c r="V602" s="95"/>
      <c r="W602" s="95"/>
      <c r="X602" s="95"/>
      <c r="Y602" s="95"/>
      <c r="Z602" s="95"/>
      <c r="AA602" s="95"/>
      <c r="AB602" s="95"/>
      <c r="AC602" s="95"/>
      <c r="AE602" s="96"/>
    </row>
    <row r="603" spans="19:31" ht="12" customHeight="1" x14ac:dyDescent="0.2">
      <c r="S603" s="107"/>
      <c r="T603" s="107"/>
      <c r="U603" s="95"/>
      <c r="V603" s="95"/>
      <c r="W603" s="95"/>
      <c r="X603" s="95"/>
      <c r="Y603" s="95"/>
      <c r="Z603" s="95"/>
      <c r="AA603" s="95"/>
      <c r="AB603" s="95"/>
      <c r="AC603" s="95"/>
      <c r="AD603" s="108"/>
      <c r="AE603" s="96"/>
    </row>
    <row r="604" spans="19:31" ht="12" customHeight="1" x14ac:dyDescent="0.2">
      <c r="S604" s="107"/>
      <c r="T604" s="107"/>
      <c r="U604" s="95"/>
      <c r="V604" s="95"/>
      <c r="W604" s="95"/>
      <c r="X604" s="95"/>
      <c r="Y604" s="95"/>
      <c r="Z604" s="95"/>
      <c r="AA604" s="95"/>
      <c r="AB604" s="95"/>
      <c r="AC604" s="95"/>
      <c r="AD604" s="108"/>
      <c r="AE604" s="96"/>
    </row>
    <row r="605" spans="19:31" ht="12" customHeight="1" x14ac:dyDescent="0.2">
      <c r="S605" s="107"/>
      <c r="T605" s="107"/>
      <c r="U605" s="95"/>
      <c r="V605" s="95"/>
      <c r="W605" s="95"/>
      <c r="X605" s="95"/>
      <c r="Y605" s="95"/>
      <c r="Z605" s="95"/>
      <c r="AA605" s="95"/>
      <c r="AB605" s="95"/>
      <c r="AC605" s="95"/>
      <c r="AD605" s="108"/>
      <c r="AE605" s="96"/>
    </row>
    <row r="606" spans="19:31" ht="12" customHeight="1" x14ac:dyDescent="0.2">
      <c r="S606" s="107"/>
      <c r="T606" s="107"/>
      <c r="U606" s="95"/>
      <c r="V606" s="95"/>
      <c r="W606" s="95"/>
      <c r="X606" s="95"/>
      <c r="Y606" s="95"/>
      <c r="Z606" s="95"/>
      <c r="AA606" s="95"/>
      <c r="AB606" s="95"/>
      <c r="AC606" s="95"/>
      <c r="AE606" s="96"/>
    </row>
    <row r="607" spans="19:31" ht="12" customHeight="1" x14ac:dyDescent="0.2">
      <c r="S607" s="107"/>
      <c r="T607" s="107"/>
      <c r="U607" s="95"/>
      <c r="V607" s="95"/>
      <c r="W607" s="95"/>
      <c r="X607" s="95"/>
      <c r="Y607" s="95"/>
      <c r="Z607" s="95"/>
      <c r="AA607" s="95"/>
      <c r="AB607" s="95"/>
      <c r="AC607" s="95"/>
      <c r="AD607" s="108"/>
      <c r="AE607" s="96"/>
    </row>
    <row r="608" spans="19:31" ht="12" customHeight="1" x14ac:dyDescent="0.2">
      <c r="S608" s="107"/>
      <c r="T608" s="107"/>
      <c r="U608" s="95"/>
      <c r="V608" s="95"/>
      <c r="W608" s="95"/>
      <c r="X608" s="95"/>
      <c r="Y608" s="95"/>
      <c r="Z608" s="95"/>
      <c r="AA608" s="95"/>
      <c r="AB608" s="95"/>
      <c r="AC608" s="95"/>
      <c r="AD608" s="108"/>
      <c r="AE608" s="96"/>
    </row>
    <row r="609" spans="19:31" ht="12" customHeight="1" x14ac:dyDescent="0.2">
      <c r="S609" s="107"/>
      <c r="T609" s="107"/>
      <c r="U609" s="95"/>
      <c r="V609" s="95"/>
      <c r="W609" s="95"/>
      <c r="X609" s="95"/>
      <c r="Y609" s="95"/>
      <c r="Z609" s="95"/>
      <c r="AA609" s="95"/>
      <c r="AB609" s="95"/>
      <c r="AC609" s="95"/>
      <c r="AD609" s="108"/>
      <c r="AE609" s="96"/>
    </row>
    <row r="610" spans="19:31" ht="12" customHeight="1" x14ac:dyDescent="0.2">
      <c r="S610" s="107"/>
      <c r="T610" s="107"/>
      <c r="U610" s="95"/>
      <c r="V610" s="95"/>
      <c r="W610" s="95"/>
      <c r="X610" s="95"/>
      <c r="Y610" s="95"/>
      <c r="Z610" s="95"/>
      <c r="AA610" s="95"/>
      <c r="AB610" s="95"/>
      <c r="AC610" s="95"/>
      <c r="AE610" s="96"/>
    </row>
    <row r="611" spans="19:31" ht="12" customHeight="1" x14ac:dyDescent="0.2">
      <c r="S611" s="107"/>
      <c r="T611" s="107"/>
      <c r="U611" s="95"/>
      <c r="V611" s="95"/>
      <c r="W611" s="95"/>
      <c r="X611" s="95"/>
      <c r="Y611" s="95"/>
      <c r="Z611" s="95"/>
      <c r="AA611" s="95"/>
      <c r="AB611" s="95"/>
      <c r="AC611" s="95"/>
      <c r="AD611" s="108"/>
      <c r="AE611" s="96"/>
    </row>
    <row r="612" spans="19:31" ht="12" customHeight="1" x14ac:dyDescent="0.2">
      <c r="S612" s="107"/>
      <c r="T612" s="107"/>
      <c r="U612" s="95"/>
      <c r="V612" s="95"/>
      <c r="W612" s="95"/>
      <c r="X612" s="95"/>
      <c r="Y612" s="95"/>
      <c r="Z612" s="95"/>
      <c r="AA612" s="95"/>
      <c r="AB612" s="95"/>
      <c r="AC612" s="95"/>
      <c r="AD612" s="108"/>
      <c r="AE612" s="96"/>
    </row>
    <row r="613" spans="19:31" ht="12" customHeight="1" x14ac:dyDescent="0.2">
      <c r="S613" s="107"/>
      <c r="T613" s="107"/>
      <c r="U613" s="95"/>
      <c r="V613" s="95"/>
      <c r="W613" s="95"/>
      <c r="X613" s="95"/>
      <c r="Y613" s="95"/>
      <c r="Z613" s="95"/>
      <c r="AA613" s="95"/>
      <c r="AB613" s="95"/>
      <c r="AC613" s="95"/>
      <c r="AE613" s="96"/>
    </row>
    <row r="614" spans="19:31" ht="12" customHeight="1" x14ac:dyDescent="0.2">
      <c r="S614" s="107"/>
      <c r="T614" s="107"/>
      <c r="U614" s="95"/>
      <c r="V614" s="95"/>
      <c r="W614" s="95"/>
      <c r="X614" s="95"/>
      <c r="Y614" s="95"/>
      <c r="Z614" s="95"/>
      <c r="AA614" s="95"/>
      <c r="AB614" s="95"/>
      <c r="AC614" s="95"/>
      <c r="AD614" s="108"/>
      <c r="AE614" s="96"/>
    </row>
    <row r="615" spans="19:31" ht="12" customHeight="1" x14ac:dyDescent="0.2">
      <c r="S615" s="107"/>
      <c r="T615" s="107"/>
      <c r="U615" s="95"/>
      <c r="V615" s="95"/>
      <c r="W615" s="95"/>
      <c r="X615" s="95"/>
      <c r="Y615" s="95"/>
      <c r="Z615" s="95"/>
      <c r="AA615" s="95"/>
      <c r="AB615" s="95"/>
      <c r="AC615" s="95"/>
      <c r="AD615" s="108"/>
      <c r="AE615" s="96"/>
    </row>
    <row r="616" spans="19:31" ht="12" customHeight="1" x14ac:dyDescent="0.2">
      <c r="U616" s="95"/>
      <c r="V616" s="95"/>
      <c r="W616" s="95"/>
      <c r="X616" s="95"/>
      <c r="Y616" s="95"/>
      <c r="Z616" s="95"/>
      <c r="AA616" s="95"/>
      <c r="AB616" s="95"/>
      <c r="AC616" s="95"/>
      <c r="AE616" s="96"/>
    </row>
    <row r="617" spans="19:31" ht="12" customHeight="1" x14ac:dyDescent="0.2">
      <c r="U617" s="95"/>
      <c r="V617" s="95"/>
      <c r="W617" s="95"/>
      <c r="X617" s="95"/>
      <c r="Y617" s="95"/>
      <c r="Z617" s="95"/>
      <c r="AA617" s="95"/>
      <c r="AB617" s="95"/>
      <c r="AC617" s="95"/>
      <c r="AE617" s="96"/>
    </row>
    <row r="618" spans="19:31" ht="12" customHeight="1" x14ac:dyDescent="0.2">
      <c r="U618" s="95"/>
      <c r="V618" s="95"/>
      <c r="W618" s="95"/>
      <c r="X618" s="95"/>
      <c r="Y618" s="95"/>
      <c r="Z618" s="95"/>
      <c r="AA618" s="95"/>
      <c r="AB618" s="95"/>
      <c r="AC618" s="95"/>
      <c r="AE618" s="96"/>
    </row>
    <row r="619" spans="19:31" ht="12" customHeight="1" x14ac:dyDescent="0.2">
      <c r="U619" s="95"/>
      <c r="V619" s="95"/>
      <c r="W619" s="95"/>
      <c r="X619" s="95"/>
      <c r="Y619" s="95"/>
      <c r="Z619" s="95"/>
      <c r="AA619" s="95"/>
      <c r="AB619" s="95"/>
      <c r="AC619" s="95"/>
      <c r="AE619" s="96"/>
    </row>
    <row r="620" spans="19:31" ht="12" customHeight="1" x14ac:dyDescent="0.2">
      <c r="U620" s="95"/>
      <c r="V620" s="95"/>
      <c r="W620" s="95"/>
      <c r="X620" s="95"/>
      <c r="Y620" s="95"/>
      <c r="Z620" s="95"/>
      <c r="AA620" s="95"/>
      <c r="AB620" s="95"/>
      <c r="AC620" s="95"/>
      <c r="AE620" s="96"/>
    </row>
    <row r="621" spans="19:31" ht="12" customHeight="1" x14ac:dyDescent="0.2">
      <c r="U621" s="95"/>
      <c r="V621" s="95"/>
      <c r="W621" s="95"/>
      <c r="X621" s="95"/>
      <c r="Y621" s="95"/>
      <c r="Z621" s="95"/>
      <c r="AA621" s="95"/>
      <c r="AB621" s="95"/>
      <c r="AC621" s="95"/>
      <c r="AE621" s="96"/>
    </row>
    <row r="622" spans="19:31" ht="12" customHeight="1" x14ac:dyDescent="0.2">
      <c r="U622" s="95"/>
      <c r="V622" s="95"/>
      <c r="W622" s="95"/>
      <c r="X622" s="95"/>
      <c r="Y622" s="95"/>
      <c r="Z622" s="95"/>
      <c r="AA622" s="95"/>
      <c r="AB622" s="95"/>
      <c r="AC622" s="95"/>
      <c r="AE622" s="96"/>
    </row>
    <row r="623" spans="19:31" ht="12" customHeight="1" x14ac:dyDescent="0.2">
      <c r="U623" s="95"/>
      <c r="V623" s="95"/>
      <c r="W623" s="95"/>
      <c r="X623" s="95"/>
      <c r="Y623" s="95"/>
      <c r="Z623" s="95"/>
      <c r="AA623" s="95"/>
      <c r="AB623" s="95"/>
      <c r="AC623" s="95"/>
      <c r="AE623" s="96"/>
    </row>
    <row r="624" spans="19:31" ht="12" customHeight="1" x14ac:dyDescent="0.2">
      <c r="U624" s="95"/>
      <c r="V624" s="95"/>
      <c r="W624" s="95"/>
      <c r="X624" s="95"/>
      <c r="Y624" s="95"/>
      <c r="Z624" s="95"/>
      <c r="AA624" s="95"/>
      <c r="AB624" s="95"/>
      <c r="AC624" s="95"/>
      <c r="AE624" s="96"/>
    </row>
    <row r="625" spans="21:31" ht="12" customHeight="1" x14ac:dyDescent="0.2">
      <c r="U625" s="95"/>
      <c r="V625" s="95"/>
      <c r="W625" s="95"/>
      <c r="X625" s="95"/>
      <c r="Y625" s="95"/>
      <c r="Z625" s="95"/>
      <c r="AA625" s="95"/>
      <c r="AB625" s="95"/>
      <c r="AC625" s="95"/>
      <c r="AE625" s="96"/>
    </row>
    <row r="626" spans="21:31" ht="12" customHeight="1" x14ac:dyDescent="0.2">
      <c r="U626" s="95"/>
      <c r="V626" s="95"/>
      <c r="W626" s="95"/>
      <c r="X626" s="95"/>
      <c r="Y626" s="95"/>
      <c r="Z626" s="95"/>
      <c r="AA626" s="95"/>
      <c r="AB626" s="95"/>
      <c r="AC626" s="95"/>
      <c r="AE626" s="96"/>
    </row>
    <row r="627" spans="21:31" ht="12" customHeight="1" x14ac:dyDescent="0.2">
      <c r="U627" s="95"/>
      <c r="V627" s="95"/>
      <c r="W627" s="95"/>
      <c r="X627" s="95"/>
      <c r="Y627" s="95"/>
      <c r="Z627" s="95"/>
      <c r="AA627" s="95"/>
      <c r="AB627" s="95"/>
      <c r="AC627" s="95"/>
      <c r="AE627" s="96"/>
    </row>
    <row r="628" spans="21:31" ht="12" customHeight="1" x14ac:dyDescent="0.2">
      <c r="U628" s="95"/>
      <c r="V628" s="95"/>
      <c r="W628" s="95"/>
      <c r="X628" s="95"/>
      <c r="Y628" s="95"/>
      <c r="Z628" s="95"/>
      <c r="AA628" s="95"/>
      <c r="AB628" s="95"/>
      <c r="AC628" s="95"/>
      <c r="AE628" s="96"/>
    </row>
    <row r="629" spans="21:31" ht="12" customHeight="1" x14ac:dyDescent="0.2">
      <c r="U629" s="95"/>
      <c r="V629" s="95"/>
      <c r="W629" s="95"/>
      <c r="X629" s="95"/>
      <c r="Y629" s="95"/>
      <c r="Z629" s="95"/>
      <c r="AA629" s="95"/>
      <c r="AB629" s="95"/>
      <c r="AC629" s="95"/>
      <c r="AE629" s="96"/>
    </row>
    <row r="630" spans="21:31" ht="12" customHeight="1" x14ac:dyDescent="0.2">
      <c r="U630" s="95"/>
      <c r="V630" s="95"/>
      <c r="W630" s="95"/>
      <c r="X630" s="95"/>
      <c r="Y630" s="95"/>
      <c r="Z630" s="95"/>
      <c r="AA630" s="95"/>
      <c r="AB630" s="95"/>
      <c r="AC630" s="95"/>
      <c r="AE630" s="96"/>
    </row>
    <row r="631" spans="21:31" ht="12" customHeight="1" x14ac:dyDescent="0.2">
      <c r="U631" s="95"/>
      <c r="V631" s="95"/>
      <c r="W631" s="95"/>
      <c r="X631" s="95"/>
      <c r="Y631" s="95"/>
      <c r="Z631" s="95"/>
      <c r="AA631" s="95"/>
      <c r="AB631" s="95"/>
      <c r="AC631" s="95"/>
      <c r="AE631" s="96"/>
    </row>
    <row r="632" spans="21:31" ht="12" customHeight="1" x14ac:dyDescent="0.2">
      <c r="U632" s="95"/>
      <c r="V632" s="95"/>
      <c r="W632" s="95"/>
      <c r="X632" s="95"/>
      <c r="Y632" s="95"/>
      <c r="Z632" s="95"/>
      <c r="AA632" s="95"/>
      <c r="AB632" s="95"/>
      <c r="AC632" s="95"/>
      <c r="AE632" s="96"/>
    </row>
    <row r="633" spans="21:31" ht="12" customHeight="1" x14ac:dyDescent="0.2">
      <c r="U633" s="95"/>
      <c r="V633" s="95"/>
      <c r="W633" s="95"/>
      <c r="X633" s="95"/>
      <c r="Y633" s="95"/>
      <c r="Z633" s="95"/>
      <c r="AA633" s="95"/>
      <c r="AB633" s="95"/>
      <c r="AC633" s="95"/>
      <c r="AE633" s="96"/>
    </row>
    <row r="634" spans="21:31" ht="12" customHeight="1" x14ac:dyDescent="0.2">
      <c r="U634" s="95"/>
      <c r="V634" s="95"/>
      <c r="W634" s="95"/>
      <c r="X634" s="95"/>
      <c r="Y634" s="95"/>
      <c r="Z634" s="95"/>
      <c r="AA634" s="95"/>
      <c r="AB634" s="95"/>
      <c r="AC634" s="95"/>
      <c r="AE634" s="96"/>
    </row>
    <row r="635" spans="21:31" ht="12" customHeight="1" x14ac:dyDescent="0.2">
      <c r="U635" s="95"/>
      <c r="V635" s="95"/>
      <c r="W635" s="95"/>
      <c r="X635" s="95"/>
      <c r="Y635" s="95"/>
      <c r="Z635" s="95"/>
      <c r="AA635" s="95"/>
      <c r="AB635" s="95"/>
      <c r="AC635" s="95"/>
      <c r="AE635" s="96"/>
    </row>
    <row r="636" spans="21:31" ht="12" customHeight="1" x14ac:dyDescent="0.2">
      <c r="U636" s="95"/>
      <c r="V636" s="95"/>
      <c r="W636" s="95"/>
      <c r="X636" s="95"/>
      <c r="Y636" s="95"/>
      <c r="Z636" s="95"/>
      <c r="AA636" s="95"/>
      <c r="AB636" s="95"/>
      <c r="AC636" s="95"/>
      <c r="AE636" s="96"/>
    </row>
    <row r="637" spans="21:31" ht="12" customHeight="1" x14ac:dyDescent="0.2">
      <c r="U637" s="95"/>
      <c r="V637" s="95"/>
      <c r="W637" s="95"/>
      <c r="X637" s="95"/>
      <c r="Y637" s="95"/>
      <c r="Z637" s="95"/>
      <c r="AA637" s="95"/>
      <c r="AB637" s="95"/>
      <c r="AC637" s="95"/>
      <c r="AE637" s="96"/>
    </row>
    <row r="638" spans="21:31" ht="12" customHeight="1" x14ac:dyDescent="0.2">
      <c r="U638" s="95"/>
      <c r="V638" s="95"/>
      <c r="W638" s="95"/>
      <c r="X638" s="95"/>
      <c r="Y638" s="95"/>
      <c r="Z638" s="95"/>
      <c r="AA638" s="95"/>
      <c r="AB638" s="95"/>
      <c r="AC638" s="95"/>
      <c r="AE638" s="96"/>
    </row>
    <row r="639" spans="21:31" ht="12" customHeight="1" x14ac:dyDescent="0.2">
      <c r="U639" s="95"/>
      <c r="V639" s="95"/>
      <c r="W639" s="95"/>
      <c r="X639" s="95"/>
      <c r="Y639" s="95"/>
      <c r="Z639" s="95"/>
      <c r="AA639" s="95"/>
      <c r="AB639" s="95"/>
      <c r="AC639" s="95"/>
      <c r="AE639" s="96"/>
    </row>
    <row r="640" spans="21:31" ht="12" customHeight="1" x14ac:dyDescent="0.2">
      <c r="U640" s="95"/>
      <c r="V640" s="95"/>
      <c r="W640" s="95"/>
      <c r="X640" s="95"/>
      <c r="Y640" s="95"/>
      <c r="Z640" s="95"/>
      <c r="AA640" s="95"/>
      <c r="AB640" s="95"/>
      <c r="AC640" s="95"/>
      <c r="AE640" s="96"/>
    </row>
    <row r="641" spans="21:31" ht="12" customHeight="1" x14ac:dyDescent="0.2">
      <c r="U641" s="95"/>
      <c r="V641" s="95"/>
      <c r="W641" s="95"/>
      <c r="X641" s="95"/>
      <c r="Y641" s="95"/>
      <c r="Z641" s="95"/>
      <c r="AA641" s="95"/>
      <c r="AB641" s="95"/>
      <c r="AC641" s="95"/>
      <c r="AE641" s="96"/>
    </row>
    <row r="642" spans="21:31" ht="12" customHeight="1" x14ac:dyDescent="0.2">
      <c r="U642" s="95"/>
      <c r="V642" s="95"/>
      <c r="W642" s="95"/>
      <c r="X642" s="95"/>
      <c r="Y642" s="95"/>
      <c r="Z642" s="95"/>
      <c r="AA642" s="95"/>
      <c r="AB642" s="95"/>
      <c r="AC642" s="95"/>
      <c r="AE642" s="96"/>
    </row>
    <row r="643" spans="21:31" ht="12" customHeight="1" x14ac:dyDescent="0.2">
      <c r="U643" s="95"/>
      <c r="V643" s="95"/>
      <c r="W643" s="95"/>
      <c r="X643" s="95"/>
      <c r="Y643" s="95"/>
      <c r="Z643" s="95"/>
      <c r="AA643" s="95"/>
      <c r="AB643" s="95"/>
      <c r="AC643" s="95"/>
      <c r="AE643" s="96"/>
    </row>
    <row r="644" spans="21:31" ht="12" customHeight="1" x14ac:dyDescent="0.2">
      <c r="U644" s="95"/>
      <c r="V644" s="95"/>
      <c r="W644" s="95"/>
      <c r="X644" s="95"/>
      <c r="Y644" s="95"/>
      <c r="Z644" s="95"/>
      <c r="AA644" s="95"/>
      <c r="AB644" s="95"/>
      <c r="AC644" s="95"/>
      <c r="AE644" s="96"/>
    </row>
    <row r="645" spans="21:31" ht="12" customHeight="1" x14ac:dyDescent="0.2">
      <c r="U645" s="95"/>
      <c r="V645" s="95"/>
      <c r="W645" s="95"/>
      <c r="X645" s="95"/>
      <c r="Y645" s="95"/>
      <c r="Z645" s="95"/>
      <c r="AA645" s="95"/>
      <c r="AB645" s="95"/>
      <c r="AC645" s="95"/>
      <c r="AE645" s="96"/>
    </row>
    <row r="646" spans="21:31" ht="12" customHeight="1" x14ac:dyDescent="0.2">
      <c r="U646" s="95"/>
      <c r="V646" s="95"/>
      <c r="W646" s="95"/>
      <c r="X646" s="95"/>
      <c r="Y646" s="95"/>
      <c r="Z646" s="95"/>
      <c r="AA646" s="95"/>
      <c r="AB646" s="95"/>
      <c r="AC646" s="95"/>
      <c r="AE646" s="96"/>
    </row>
    <row r="647" spans="21:31" ht="12" customHeight="1" x14ac:dyDescent="0.2">
      <c r="U647" s="95"/>
      <c r="V647" s="95"/>
      <c r="W647" s="95"/>
      <c r="X647" s="95"/>
      <c r="Y647" s="95"/>
      <c r="Z647" s="95"/>
      <c r="AA647" s="95"/>
      <c r="AB647" s="95"/>
      <c r="AC647" s="95"/>
      <c r="AE647" s="96"/>
    </row>
    <row r="648" spans="21:31" ht="12" customHeight="1" x14ac:dyDescent="0.2">
      <c r="U648" s="95"/>
      <c r="V648" s="95"/>
      <c r="W648" s="95"/>
      <c r="X648" s="95"/>
      <c r="Y648" s="95"/>
      <c r="Z648" s="95"/>
      <c r="AA648" s="95"/>
      <c r="AB648" s="95"/>
      <c r="AC648" s="95"/>
      <c r="AE648" s="96"/>
    </row>
    <row r="649" spans="21:31" ht="12" customHeight="1" x14ac:dyDescent="0.2">
      <c r="U649" s="95"/>
      <c r="V649" s="95"/>
      <c r="W649" s="95"/>
      <c r="X649" s="95"/>
      <c r="Y649" s="95"/>
      <c r="Z649" s="95"/>
      <c r="AA649" s="95"/>
      <c r="AB649" s="95"/>
      <c r="AC649" s="95"/>
      <c r="AE649" s="96"/>
    </row>
    <row r="650" spans="21:31" ht="12" customHeight="1" x14ac:dyDescent="0.2">
      <c r="U650" s="95"/>
      <c r="V650" s="95"/>
      <c r="W650" s="95"/>
      <c r="X650" s="95"/>
      <c r="Y650" s="95"/>
      <c r="Z650" s="95"/>
      <c r="AA650" s="95"/>
      <c r="AB650" s="95"/>
      <c r="AC650" s="95"/>
      <c r="AE650" s="96"/>
    </row>
    <row r="651" spans="21:31" ht="12" customHeight="1" x14ac:dyDescent="0.2">
      <c r="U651" s="95"/>
      <c r="V651" s="95"/>
      <c r="W651" s="95"/>
      <c r="X651" s="95"/>
      <c r="Y651" s="95"/>
      <c r="Z651" s="95"/>
      <c r="AA651" s="95"/>
      <c r="AB651" s="95"/>
      <c r="AC651" s="95"/>
      <c r="AE651" s="96"/>
    </row>
    <row r="652" spans="21:31" ht="12" customHeight="1" x14ac:dyDescent="0.2">
      <c r="U652" s="95"/>
      <c r="V652" s="95"/>
      <c r="W652" s="95"/>
      <c r="X652" s="95"/>
      <c r="Y652" s="95"/>
      <c r="Z652" s="95"/>
      <c r="AA652" s="95"/>
      <c r="AB652" s="95"/>
      <c r="AC652" s="95"/>
      <c r="AE652" s="96"/>
    </row>
    <row r="653" spans="21:31" ht="12" customHeight="1" x14ac:dyDescent="0.2">
      <c r="U653" s="95"/>
      <c r="V653" s="95"/>
      <c r="W653" s="95"/>
      <c r="X653" s="95"/>
      <c r="Y653" s="95"/>
      <c r="Z653" s="95"/>
      <c r="AA653" s="95"/>
      <c r="AB653" s="95"/>
      <c r="AC653" s="95"/>
      <c r="AE653" s="96"/>
    </row>
    <row r="654" spans="21:31" ht="12" customHeight="1" x14ac:dyDescent="0.2">
      <c r="U654" s="95"/>
      <c r="V654" s="95"/>
      <c r="W654" s="95"/>
      <c r="X654" s="95"/>
      <c r="Y654" s="95"/>
      <c r="Z654" s="95"/>
      <c r="AA654" s="95"/>
      <c r="AB654" s="95"/>
      <c r="AC654" s="95"/>
      <c r="AE654" s="96"/>
    </row>
    <row r="655" spans="21:31" ht="12" customHeight="1" x14ac:dyDescent="0.2">
      <c r="U655" s="95"/>
      <c r="V655" s="95"/>
      <c r="W655" s="95"/>
      <c r="X655" s="95"/>
      <c r="Y655" s="95"/>
      <c r="Z655" s="95"/>
      <c r="AA655" s="95"/>
      <c r="AB655" s="95"/>
      <c r="AC655" s="95"/>
      <c r="AE655" s="96"/>
    </row>
    <row r="656" spans="21:31" ht="12" customHeight="1" x14ac:dyDescent="0.2">
      <c r="U656" s="95"/>
      <c r="V656" s="95"/>
      <c r="W656" s="95"/>
      <c r="X656" s="95"/>
      <c r="Y656" s="95"/>
      <c r="Z656" s="95"/>
      <c r="AA656" s="95"/>
      <c r="AB656" s="95"/>
      <c r="AC656" s="95"/>
      <c r="AE656" s="96"/>
    </row>
    <row r="657" spans="19:31" ht="12" customHeight="1" x14ac:dyDescent="0.2">
      <c r="U657" s="95"/>
      <c r="V657" s="95"/>
      <c r="W657" s="95"/>
      <c r="X657" s="95"/>
      <c r="Y657" s="95"/>
      <c r="Z657" s="95"/>
      <c r="AA657" s="95"/>
      <c r="AB657" s="95"/>
      <c r="AC657" s="95"/>
      <c r="AE657" s="96"/>
    </row>
    <row r="658" spans="19:31" ht="12" customHeight="1" x14ac:dyDescent="0.2">
      <c r="U658" s="95"/>
      <c r="V658" s="95"/>
      <c r="W658" s="95"/>
      <c r="X658" s="95"/>
      <c r="Y658" s="95"/>
      <c r="Z658" s="95"/>
      <c r="AA658" s="95"/>
      <c r="AB658" s="95"/>
      <c r="AC658" s="95"/>
      <c r="AE658" s="96"/>
    </row>
    <row r="659" spans="19:31" ht="12" customHeight="1" x14ac:dyDescent="0.2">
      <c r="U659" s="95"/>
      <c r="V659" s="95"/>
      <c r="W659" s="95"/>
      <c r="X659" s="95"/>
      <c r="Y659" s="95"/>
      <c r="Z659" s="95"/>
      <c r="AA659" s="95"/>
      <c r="AB659" s="95"/>
      <c r="AC659" s="95"/>
      <c r="AE659" s="96"/>
    </row>
    <row r="660" spans="19:31" ht="12" customHeight="1" x14ac:dyDescent="0.2">
      <c r="U660" s="95"/>
      <c r="V660" s="95"/>
      <c r="W660" s="95"/>
      <c r="X660" s="95"/>
      <c r="Y660" s="95"/>
      <c r="Z660" s="95"/>
      <c r="AA660" s="95"/>
      <c r="AB660" s="95"/>
      <c r="AC660" s="95"/>
      <c r="AE660" s="96"/>
    </row>
    <row r="661" spans="19:31" ht="12" customHeight="1" x14ac:dyDescent="0.2">
      <c r="U661" s="95"/>
      <c r="V661" s="95"/>
      <c r="W661" s="95"/>
      <c r="X661" s="95"/>
      <c r="Y661" s="95"/>
      <c r="Z661" s="95"/>
      <c r="AA661" s="95"/>
      <c r="AB661" s="95"/>
      <c r="AC661" s="95"/>
      <c r="AE661" s="96"/>
    </row>
    <row r="662" spans="19:31" ht="12" customHeight="1" x14ac:dyDescent="0.2">
      <c r="U662" s="95"/>
      <c r="V662" s="95"/>
      <c r="W662" s="95"/>
      <c r="X662" s="95"/>
      <c r="Y662" s="95"/>
      <c r="Z662" s="95"/>
      <c r="AA662" s="95"/>
      <c r="AB662" s="95"/>
      <c r="AC662" s="95"/>
      <c r="AE662" s="96"/>
    </row>
    <row r="663" spans="19:31" ht="12" customHeight="1" x14ac:dyDescent="0.2">
      <c r="U663" s="95"/>
      <c r="V663" s="95"/>
      <c r="W663" s="95"/>
      <c r="X663" s="95"/>
      <c r="Y663" s="95"/>
      <c r="Z663" s="95"/>
      <c r="AA663" s="95"/>
      <c r="AB663" s="95"/>
      <c r="AC663" s="95"/>
      <c r="AE663" s="96"/>
    </row>
    <row r="664" spans="19:31" ht="12" customHeight="1" x14ac:dyDescent="0.2">
      <c r="S664" s="113"/>
      <c r="T664" s="113"/>
      <c r="U664" s="95"/>
      <c r="V664" s="95"/>
      <c r="W664" s="95"/>
      <c r="X664" s="95"/>
      <c r="Y664" s="95"/>
      <c r="Z664" s="95"/>
      <c r="AA664" s="95"/>
      <c r="AB664" s="95"/>
      <c r="AC664" s="95"/>
      <c r="AD664" s="114"/>
      <c r="AE664" s="96"/>
    </row>
    <row r="665" spans="19:31" ht="12" customHeight="1" x14ac:dyDescent="0.2">
      <c r="U665" s="95"/>
      <c r="V665" s="95"/>
      <c r="W665" s="95"/>
      <c r="X665" s="95"/>
      <c r="Y665" s="95"/>
      <c r="Z665" s="95"/>
      <c r="AA665" s="95"/>
      <c r="AB665" s="95"/>
      <c r="AC665" s="95"/>
      <c r="AE665" s="96"/>
    </row>
    <row r="666" spans="19:31" ht="12" customHeight="1" x14ac:dyDescent="0.2">
      <c r="U666" s="95"/>
      <c r="V666" s="95"/>
      <c r="W666" s="95"/>
      <c r="X666" s="95"/>
      <c r="Y666" s="95"/>
      <c r="Z666" s="95"/>
      <c r="AA666" s="95"/>
      <c r="AB666" s="95"/>
      <c r="AC666" s="95"/>
      <c r="AE666" s="96"/>
    </row>
    <row r="667" spans="19:31" ht="12" customHeight="1" x14ac:dyDescent="0.2">
      <c r="U667" s="95"/>
      <c r="V667" s="95"/>
      <c r="W667" s="95"/>
      <c r="X667" s="95"/>
      <c r="Y667" s="95"/>
      <c r="Z667" s="95"/>
      <c r="AA667" s="95"/>
      <c r="AB667" s="95"/>
      <c r="AC667" s="95"/>
      <c r="AE667" s="96"/>
    </row>
    <row r="668" spans="19:31" ht="12" customHeight="1" x14ac:dyDescent="0.2">
      <c r="U668" s="95"/>
      <c r="V668" s="95"/>
      <c r="W668" s="95"/>
      <c r="X668" s="95"/>
      <c r="Y668" s="95"/>
      <c r="Z668" s="95"/>
      <c r="AA668" s="95"/>
      <c r="AB668" s="95"/>
      <c r="AC668" s="95"/>
      <c r="AE668" s="96"/>
    </row>
    <row r="669" spans="19:31" ht="12" customHeight="1" x14ac:dyDescent="0.2">
      <c r="U669" s="95"/>
      <c r="V669" s="95"/>
      <c r="W669" s="95"/>
      <c r="X669" s="95"/>
      <c r="Y669" s="95"/>
      <c r="Z669" s="95"/>
      <c r="AA669" s="95"/>
      <c r="AB669" s="95"/>
      <c r="AC669" s="95"/>
      <c r="AE669" s="96"/>
    </row>
    <row r="670" spans="19:31" ht="12" customHeight="1" x14ac:dyDescent="0.2">
      <c r="S670" s="113"/>
      <c r="T670" s="113"/>
      <c r="U670" s="95"/>
      <c r="V670" s="95"/>
      <c r="W670" s="95"/>
      <c r="X670" s="95"/>
      <c r="Y670" s="95"/>
      <c r="Z670" s="95"/>
      <c r="AA670" s="95"/>
      <c r="AB670" s="95"/>
      <c r="AC670" s="95"/>
      <c r="AD670" s="114"/>
      <c r="AE670" s="96"/>
    </row>
    <row r="671" spans="19:31" ht="12" customHeight="1" x14ac:dyDescent="0.2">
      <c r="U671" s="95"/>
      <c r="V671" s="95"/>
      <c r="W671" s="95"/>
      <c r="X671" s="95"/>
      <c r="Y671" s="95"/>
      <c r="Z671" s="95"/>
      <c r="AA671" s="95"/>
      <c r="AB671" s="95"/>
      <c r="AC671" s="95"/>
      <c r="AE671" s="96"/>
    </row>
    <row r="672" spans="19:31" ht="12" customHeight="1" x14ac:dyDescent="0.2">
      <c r="U672" s="95"/>
      <c r="V672" s="95"/>
      <c r="W672" s="95"/>
      <c r="X672" s="95"/>
      <c r="Y672" s="95"/>
      <c r="Z672" s="95"/>
      <c r="AA672" s="95"/>
      <c r="AB672" s="95"/>
      <c r="AC672" s="95"/>
      <c r="AE672" s="96"/>
    </row>
    <row r="673" spans="21:31" ht="12" customHeight="1" x14ac:dyDescent="0.2">
      <c r="U673" s="95"/>
      <c r="V673" s="95"/>
      <c r="W673" s="95"/>
      <c r="X673" s="95"/>
      <c r="Y673" s="95"/>
      <c r="Z673" s="95"/>
      <c r="AA673" s="95"/>
      <c r="AB673" s="95"/>
      <c r="AC673" s="95"/>
      <c r="AE673" s="96"/>
    </row>
    <row r="674" spans="21:31" ht="12" customHeight="1" x14ac:dyDescent="0.2">
      <c r="U674" s="95"/>
      <c r="V674" s="95"/>
      <c r="W674" s="95"/>
      <c r="X674" s="95"/>
      <c r="Y674" s="95"/>
      <c r="Z674" s="95"/>
      <c r="AA674" s="95"/>
      <c r="AB674" s="95"/>
      <c r="AC674" s="95"/>
      <c r="AE674" s="96"/>
    </row>
    <row r="675" spans="21:31" ht="12" customHeight="1" x14ac:dyDescent="0.2">
      <c r="U675" s="95"/>
      <c r="V675" s="95"/>
      <c r="W675" s="95"/>
      <c r="X675" s="95"/>
      <c r="Y675" s="95"/>
      <c r="Z675" s="95"/>
      <c r="AA675" s="95"/>
      <c r="AB675" s="95"/>
      <c r="AC675" s="95"/>
      <c r="AE675" s="96"/>
    </row>
    <row r="676" spans="21:31" ht="12" customHeight="1" x14ac:dyDescent="0.2">
      <c r="U676" s="95"/>
      <c r="V676" s="95"/>
      <c r="W676" s="95"/>
      <c r="X676" s="95"/>
      <c r="Y676" s="95"/>
      <c r="Z676" s="95"/>
      <c r="AA676" s="95"/>
      <c r="AB676" s="95"/>
      <c r="AC676" s="95"/>
      <c r="AE676" s="96"/>
    </row>
    <row r="677" spans="21:31" ht="12" customHeight="1" x14ac:dyDescent="0.2">
      <c r="U677" s="95"/>
      <c r="V677" s="95"/>
      <c r="W677" s="95"/>
      <c r="X677" s="95"/>
      <c r="Y677" s="95"/>
      <c r="Z677" s="95"/>
      <c r="AA677" s="95"/>
      <c r="AB677" s="95"/>
      <c r="AC677" s="95"/>
      <c r="AE677" s="96"/>
    </row>
    <row r="678" spans="21:31" ht="12" customHeight="1" x14ac:dyDescent="0.2">
      <c r="U678" s="95"/>
      <c r="V678" s="95"/>
      <c r="W678" s="95"/>
      <c r="X678" s="95"/>
      <c r="Y678" s="95"/>
      <c r="Z678" s="95"/>
      <c r="AA678" s="95"/>
      <c r="AB678" s="95"/>
      <c r="AC678" s="95"/>
      <c r="AE678" s="96"/>
    </row>
    <row r="679" spans="21:31" ht="12" customHeight="1" x14ac:dyDescent="0.2">
      <c r="U679" s="95"/>
      <c r="V679" s="95"/>
      <c r="W679" s="95"/>
      <c r="X679" s="95"/>
      <c r="Y679" s="95"/>
      <c r="Z679" s="95"/>
      <c r="AA679" s="95"/>
      <c r="AB679" s="95"/>
      <c r="AC679" s="95"/>
      <c r="AE679" s="96"/>
    </row>
    <row r="680" spans="21:31" ht="12" customHeight="1" x14ac:dyDescent="0.2">
      <c r="U680" s="95"/>
      <c r="V680" s="95"/>
      <c r="W680" s="95"/>
      <c r="X680" s="95"/>
      <c r="Y680" s="95"/>
      <c r="Z680" s="95"/>
      <c r="AA680" s="95"/>
      <c r="AB680" s="95"/>
      <c r="AC680" s="95"/>
      <c r="AE680" s="96"/>
    </row>
    <row r="681" spans="21:31" ht="12" customHeight="1" x14ac:dyDescent="0.2">
      <c r="U681" s="95"/>
      <c r="V681" s="95"/>
      <c r="W681" s="95"/>
      <c r="X681" s="95"/>
      <c r="Y681" s="95"/>
      <c r="Z681" s="95"/>
      <c r="AA681" s="95"/>
      <c r="AB681" s="95"/>
      <c r="AC681" s="95"/>
      <c r="AE681" s="96"/>
    </row>
    <row r="682" spans="21:31" ht="12" customHeight="1" x14ac:dyDescent="0.2">
      <c r="U682" s="95"/>
      <c r="V682" s="95"/>
      <c r="W682" s="95"/>
      <c r="X682" s="95"/>
      <c r="Y682" s="95"/>
      <c r="Z682" s="95"/>
      <c r="AA682" s="95"/>
      <c r="AB682" s="95"/>
      <c r="AC682" s="95"/>
      <c r="AE682" s="96"/>
    </row>
    <row r="683" spans="21:31" ht="12" customHeight="1" x14ac:dyDescent="0.2">
      <c r="U683" s="95"/>
      <c r="V683" s="95"/>
      <c r="W683" s="95"/>
      <c r="X683" s="95"/>
      <c r="Y683" s="95"/>
      <c r="Z683" s="95"/>
      <c r="AA683" s="95"/>
      <c r="AB683" s="95"/>
      <c r="AC683" s="95"/>
      <c r="AE683" s="96"/>
    </row>
    <row r="684" spans="21:31" ht="12" customHeight="1" x14ac:dyDescent="0.2">
      <c r="U684" s="95"/>
      <c r="V684" s="95"/>
      <c r="W684" s="95"/>
      <c r="X684" s="95"/>
      <c r="Y684" s="95"/>
      <c r="Z684" s="95"/>
      <c r="AA684" s="95"/>
      <c r="AB684" s="95"/>
      <c r="AC684" s="95"/>
      <c r="AE684" s="96"/>
    </row>
    <row r="685" spans="21:31" ht="12" customHeight="1" x14ac:dyDescent="0.2">
      <c r="U685" s="95"/>
      <c r="V685" s="95"/>
      <c r="W685" s="95"/>
      <c r="X685" s="95"/>
      <c r="Y685" s="95"/>
      <c r="Z685" s="95"/>
      <c r="AA685" s="95"/>
      <c r="AB685" s="95"/>
      <c r="AC685" s="95"/>
      <c r="AE685" s="96"/>
    </row>
    <row r="686" spans="21:31" ht="12" customHeight="1" x14ac:dyDescent="0.2">
      <c r="U686" s="95"/>
      <c r="V686" s="95"/>
      <c r="W686" s="95"/>
      <c r="X686" s="95"/>
      <c r="Y686" s="95"/>
      <c r="Z686" s="95"/>
      <c r="AA686" s="95"/>
      <c r="AB686" s="95"/>
      <c r="AC686" s="95"/>
      <c r="AE686" s="96"/>
    </row>
    <row r="687" spans="21:31" ht="12" customHeight="1" x14ac:dyDescent="0.2">
      <c r="U687" s="95"/>
      <c r="V687" s="95"/>
      <c r="W687" s="95"/>
      <c r="X687" s="95"/>
      <c r="Y687" s="95"/>
      <c r="Z687" s="95"/>
      <c r="AA687" s="95"/>
      <c r="AB687" s="95"/>
      <c r="AC687" s="95"/>
      <c r="AE687" s="96"/>
    </row>
    <row r="688" spans="21:31" ht="12" customHeight="1" x14ac:dyDescent="0.2">
      <c r="U688" s="95"/>
      <c r="V688" s="95"/>
      <c r="W688" s="95"/>
      <c r="X688" s="95"/>
      <c r="Y688" s="95"/>
      <c r="Z688" s="95"/>
      <c r="AA688" s="95"/>
      <c r="AB688" s="95"/>
      <c r="AC688" s="95"/>
      <c r="AE688" s="96"/>
    </row>
    <row r="689" spans="19:31" ht="12" customHeight="1" x14ac:dyDescent="0.2">
      <c r="U689" s="95"/>
      <c r="V689" s="95"/>
      <c r="W689" s="95"/>
      <c r="X689" s="95"/>
      <c r="Y689" s="95"/>
      <c r="Z689" s="95"/>
      <c r="AA689" s="95"/>
      <c r="AB689" s="95"/>
      <c r="AC689" s="95"/>
      <c r="AE689" s="96"/>
    </row>
    <row r="690" spans="19:31" ht="12" customHeight="1" x14ac:dyDescent="0.2">
      <c r="U690" s="95"/>
      <c r="V690" s="95"/>
      <c r="W690" s="95"/>
      <c r="X690" s="95"/>
      <c r="Y690" s="95"/>
      <c r="Z690" s="95"/>
      <c r="AA690" s="95"/>
      <c r="AB690" s="95"/>
      <c r="AC690" s="95"/>
      <c r="AE690" s="96"/>
    </row>
    <row r="691" spans="19:31" ht="12" customHeight="1" x14ac:dyDescent="0.2">
      <c r="U691" s="95"/>
      <c r="V691" s="95"/>
      <c r="W691" s="95"/>
      <c r="X691" s="95"/>
      <c r="Y691" s="95"/>
      <c r="Z691" s="95"/>
      <c r="AA691" s="95"/>
      <c r="AB691" s="95"/>
      <c r="AC691" s="95"/>
      <c r="AE691" s="96"/>
    </row>
    <row r="692" spans="19:31" ht="12" customHeight="1" x14ac:dyDescent="0.2">
      <c r="U692" s="95"/>
      <c r="V692" s="95"/>
      <c r="W692" s="95"/>
      <c r="X692" s="95"/>
      <c r="Y692" s="95"/>
      <c r="Z692" s="95"/>
      <c r="AA692" s="95"/>
      <c r="AB692" s="95"/>
      <c r="AC692" s="95"/>
      <c r="AE692" s="96"/>
    </row>
    <row r="693" spans="19:31" ht="12" customHeight="1" x14ac:dyDescent="0.2">
      <c r="U693" s="95"/>
      <c r="V693" s="95"/>
      <c r="W693" s="95"/>
      <c r="X693" s="95"/>
      <c r="Y693" s="95"/>
      <c r="Z693" s="95"/>
      <c r="AA693" s="95"/>
      <c r="AB693" s="95"/>
      <c r="AC693" s="95"/>
      <c r="AE693" s="96"/>
    </row>
    <row r="694" spans="19:31" ht="12" customHeight="1" x14ac:dyDescent="0.2">
      <c r="U694" s="95"/>
      <c r="V694" s="95"/>
      <c r="W694" s="95"/>
      <c r="X694" s="95"/>
      <c r="Y694" s="95"/>
      <c r="Z694" s="95"/>
      <c r="AA694" s="95"/>
      <c r="AB694" s="95"/>
      <c r="AC694" s="95"/>
      <c r="AE694" s="96"/>
    </row>
    <row r="695" spans="19:31" ht="12" customHeight="1" x14ac:dyDescent="0.2">
      <c r="U695" s="95"/>
      <c r="V695" s="95"/>
      <c r="W695" s="95"/>
      <c r="X695" s="95"/>
      <c r="Y695" s="95"/>
      <c r="Z695" s="95"/>
      <c r="AA695" s="95"/>
      <c r="AB695" s="95"/>
      <c r="AC695" s="95"/>
      <c r="AE695" s="96"/>
    </row>
    <row r="696" spans="19:31" ht="12" customHeight="1" x14ac:dyDescent="0.2">
      <c r="U696" s="95"/>
      <c r="V696" s="95"/>
      <c r="W696" s="95"/>
      <c r="X696" s="95"/>
      <c r="Y696" s="95"/>
      <c r="Z696" s="95"/>
      <c r="AA696" s="95"/>
      <c r="AB696" s="95"/>
      <c r="AC696" s="95"/>
      <c r="AE696" s="96"/>
    </row>
    <row r="697" spans="19:31" ht="12" customHeight="1" x14ac:dyDescent="0.2">
      <c r="U697" s="95"/>
      <c r="V697" s="95"/>
      <c r="W697" s="95"/>
      <c r="X697" s="95"/>
      <c r="Y697" s="95"/>
      <c r="Z697" s="95"/>
      <c r="AA697" s="95"/>
      <c r="AB697" s="95"/>
      <c r="AC697" s="95"/>
      <c r="AE697" s="96"/>
    </row>
    <row r="698" spans="19:31" ht="12" customHeight="1" x14ac:dyDescent="0.2">
      <c r="U698" s="95"/>
      <c r="V698" s="95"/>
      <c r="W698" s="95"/>
      <c r="X698" s="95"/>
      <c r="Y698" s="95"/>
      <c r="Z698" s="95"/>
      <c r="AA698" s="95"/>
      <c r="AB698" s="95"/>
      <c r="AC698" s="95"/>
      <c r="AE698" s="96"/>
    </row>
    <row r="699" spans="19:31" ht="12" customHeight="1" x14ac:dyDescent="0.2">
      <c r="U699" s="95"/>
      <c r="V699" s="95"/>
      <c r="W699" s="95"/>
      <c r="X699" s="95"/>
      <c r="Y699" s="95"/>
      <c r="Z699" s="95"/>
      <c r="AA699" s="95"/>
      <c r="AB699" s="95"/>
      <c r="AC699" s="95"/>
      <c r="AE699" s="96"/>
    </row>
    <row r="700" spans="19:31" ht="12" customHeight="1" x14ac:dyDescent="0.2">
      <c r="U700" s="95"/>
      <c r="V700" s="95"/>
      <c r="W700" s="95"/>
      <c r="X700" s="95"/>
      <c r="Y700" s="95"/>
      <c r="Z700" s="95"/>
      <c r="AA700" s="95"/>
      <c r="AB700" s="95"/>
      <c r="AC700" s="95"/>
      <c r="AE700" s="96"/>
    </row>
    <row r="701" spans="19:31" ht="12" customHeight="1" x14ac:dyDescent="0.2">
      <c r="U701" s="95"/>
      <c r="V701" s="95"/>
      <c r="W701" s="95"/>
      <c r="X701" s="95"/>
      <c r="Y701" s="95"/>
      <c r="Z701" s="95"/>
      <c r="AA701" s="95"/>
      <c r="AB701" s="95"/>
      <c r="AC701" s="95"/>
      <c r="AE701" s="96"/>
    </row>
    <row r="702" spans="19:31" ht="12" customHeight="1" x14ac:dyDescent="0.2">
      <c r="U702" s="95"/>
      <c r="V702" s="95"/>
      <c r="W702" s="95"/>
      <c r="X702" s="95"/>
      <c r="Y702" s="95"/>
      <c r="Z702" s="95"/>
      <c r="AA702" s="95"/>
      <c r="AB702" s="95"/>
      <c r="AC702" s="95"/>
      <c r="AE702" s="96"/>
    </row>
    <row r="703" spans="19:31" ht="12" customHeight="1" x14ac:dyDescent="0.2">
      <c r="S703" s="115"/>
      <c r="T703" s="115"/>
      <c r="U703" s="94"/>
      <c r="V703" s="95"/>
      <c r="W703" s="95"/>
      <c r="X703" s="95"/>
      <c r="Y703" s="95"/>
      <c r="Z703" s="95"/>
      <c r="AA703" s="95"/>
      <c r="AB703" s="95"/>
      <c r="AC703" s="94"/>
      <c r="AD703" s="116"/>
      <c r="AE703" s="97"/>
    </row>
    <row r="704" spans="19:31" ht="12" customHeight="1" x14ac:dyDescent="0.2"/>
    <row r="705" spans="19:19" ht="12" customHeight="1" x14ac:dyDescent="0.2">
      <c r="S705" s="117"/>
    </row>
    <row r="706" spans="19:19" ht="12" customHeight="1" x14ac:dyDescent="0.2">
      <c r="S706" s="117"/>
    </row>
    <row r="707" spans="19:19" ht="12" customHeight="1" x14ac:dyDescent="0.2"/>
    <row r="708" spans="19:19" ht="12" customHeight="1" x14ac:dyDescent="0.2"/>
    <row r="709" spans="19:19" ht="12" customHeight="1" x14ac:dyDescent="0.2"/>
    <row r="710" spans="19:19" ht="12" customHeight="1" x14ac:dyDescent="0.2"/>
    <row r="711" spans="19:19" ht="12" customHeight="1" x14ac:dyDescent="0.2"/>
    <row r="712" spans="19:19" ht="12" customHeight="1" x14ac:dyDescent="0.2"/>
    <row r="713" spans="19:19" ht="12" customHeight="1" x14ac:dyDescent="0.2"/>
    <row r="714" spans="19:19" ht="12" customHeight="1" x14ac:dyDescent="0.2"/>
    <row r="715" spans="19:19" ht="12" customHeight="1" x14ac:dyDescent="0.2"/>
    <row r="716" spans="19:19" ht="12" customHeight="1" x14ac:dyDescent="0.2"/>
    <row r="717" spans="19:19" ht="12" customHeight="1" x14ac:dyDescent="0.2"/>
    <row r="718" spans="19:19" ht="12" customHeight="1" x14ac:dyDescent="0.2"/>
    <row r="719" spans="19:19" ht="12" customHeight="1" x14ac:dyDescent="0.2"/>
    <row r="720" spans="19:19"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sheetData>
  <mergeCells count="126">
    <mergeCell ref="C56:E56"/>
    <mergeCell ref="F56:G56"/>
    <mergeCell ref="C45:E45"/>
    <mergeCell ref="F45:G45"/>
    <mergeCell ref="C46:E46"/>
    <mergeCell ref="F46:G46"/>
    <mergeCell ref="C47:E47"/>
    <mergeCell ref="F47:G47"/>
    <mergeCell ref="C42:E42"/>
    <mergeCell ref="C44:E44"/>
    <mergeCell ref="C43:E43"/>
    <mergeCell ref="F43:G43"/>
    <mergeCell ref="F41:G41"/>
    <mergeCell ref="F54:G54"/>
    <mergeCell ref="C51:E51"/>
    <mergeCell ref="C52:E52"/>
    <mergeCell ref="C53:E53"/>
    <mergeCell ref="C54:E54"/>
    <mergeCell ref="AD10:AD11"/>
    <mergeCell ref="AE10:AE11"/>
    <mergeCell ref="C55:E55"/>
    <mergeCell ref="F55:G55"/>
    <mergeCell ref="F32:G32"/>
    <mergeCell ref="F30:G30"/>
    <mergeCell ref="C33:E33"/>
    <mergeCell ref="F33:G33"/>
    <mergeCell ref="C34:E34"/>
    <mergeCell ref="F34:G34"/>
    <mergeCell ref="C35:E35"/>
    <mergeCell ref="F35:G35"/>
    <mergeCell ref="AC10:AC11"/>
    <mergeCell ref="C36:E36"/>
    <mergeCell ref="F36:G36"/>
    <mergeCell ref="C37:E37"/>
    <mergeCell ref="F37:G37"/>
    <mergeCell ref="C38:E38"/>
    <mergeCell ref="F38:G38"/>
    <mergeCell ref="C31:E31"/>
    <mergeCell ref="F31:G31"/>
    <mergeCell ref="C32:E32"/>
    <mergeCell ref="C30:E30"/>
    <mergeCell ref="C25:E25"/>
    <mergeCell ref="F25:G25"/>
    <mergeCell ref="C16:E16"/>
    <mergeCell ref="F16:G16"/>
    <mergeCell ref="C17:E17"/>
    <mergeCell ref="F17:G17"/>
    <mergeCell ref="C26:E26"/>
    <mergeCell ref="F26:G26"/>
    <mergeCell ref="C21:E21"/>
    <mergeCell ref="F21:G21"/>
    <mergeCell ref="C22:E22"/>
    <mergeCell ref="F22:G22"/>
    <mergeCell ref="C23:E23"/>
    <mergeCell ref="P1:Q1"/>
    <mergeCell ref="P2:Q2"/>
    <mergeCell ref="A3:Q3"/>
    <mergeCell ref="A5:A10"/>
    <mergeCell ref="B5:E5"/>
    <mergeCell ref="F5:F10"/>
    <mergeCell ref="G5:N5"/>
    <mergeCell ref="C15:E15"/>
    <mergeCell ref="F15:G15"/>
    <mergeCell ref="O5:Q5"/>
    <mergeCell ref="B6:E6"/>
    <mergeCell ref="B9:E9"/>
    <mergeCell ref="G9:N9"/>
    <mergeCell ref="P9:Q9"/>
    <mergeCell ref="B10:E10"/>
    <mergeCell ref="G10:N10"/>
    <mergeCell ref="P10:Q10"/>
    <mergeCell ref="B7:E7"/>
    <mergeCell ref="G7:N7"/>
    <mergeCell ref="B8:E8"/>
    <mergeCell ref="G8:N8"/>
    <mergeCell ref="O8:Q8"/>
    <mergeCell ref="O11:Q11"/>
    <mergeCell ref="A12:C12"/>
    <mergeCell ref="D12:G12"/>
    <mergeCell ref="C29:E29"/>
    <mergeCell ref="F29:G29"/>
    <mergeCell ref="C39:E39"/>
    <mergeCell ref="F39:G39"/>
    <mergeCell ref="C40:E40"/>
    <mergeCell ref="F40:G40"/>
    <mergeCell ref="A1:O2"/>
    <mergeCell ref="A13:C14"/>
    <mergeCell ref="D13:G14"/>
    <mergeCell ref="O13:Q13"/>
    <mergeCell ref="O14:Q14"/>
    <mergeCell ref="F24:G24"/>
    <mergeCell ref="C27:E27"/>
    <mergeCell ref="F27:G27"/>
    <mergeCell ref="C28:E28"/>
    <mergeCell ref="F28:G28"/>
    <mergeCell ref="F23:G23"/>
    <mergeCell ref="C24:E24"/>
    <mergeCell ref="C18:E18"/>
    <mergeCell ref="F18:G18"/>
    <mergeCell ref="C19:E19"/>
    <mergeCell ref="F19:G19"/>
    <mergeCell ref="C20:E20"/>
    <mergeCell ref="G6:N6"/>
    <mergeCell ref="O6:Q6"/>
    <mergeCell ref="F20:G20"/>
    <mergeCell ref="F44:G44"/>
    <mergeCell ref="F42:G42"/>
    <mergeCell ref="L58:N58"/>
    <mergeCell ref="L59:N59"/>
    <mergeCell ref="O62:Q64"/>
    <mergeCell ref="L56:N56"/>
    <mergeCell ref="F51:G51"/>
    <mergeCell ref="F52:G52"/>
    <mergeCell ref="F53:G53"/>
    <mergeCell ref="O7:Q7"/>
    <mergeCell ref="O12:Q12"/>
    <mergeCell ref="L57:N57"/>
    <mergeCell ref="A57:J60"/>
    <mergeCell ref="A61:J64"/>
    <mergeCell ref="C48:E48"/>
    <mergeCell ref="F48:G48"/>
    <mergeCell ref="C49:E49"/>
    <mergeCell ref="F49:G49"/>
    <mergeCell ref="C50:E50"/>
    <mergeCell ref="F50:G50"/>
    <mergeCell ref="C41:E41"/>
  </mergeCells>
  <phoneticPr fontId="28" type="noConversion"/>
  <hyperlinks>
    <hyperlink ref="B9" r:id="rId1"/>
  </hyperlinks>
  <pageMargins left="0.25" right="0.25" top="0.25" bottom="0.25" header="0.3" footer="0.3"/>
  <drawing r:id="rId2"/>
  <extLst>
    <ext xmlns:mx="http://schemas.microsoft.com/office/mac/excel/2008/main" uri="http://schemas.microsoft.com/office/mac/excel/2008/main">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enableFormatConditionsCalculation="0"/>
  <dimension ref="A1:AE950"/>
  <sheetViews>
    <sheetView zoomScale="90" zoomScaleNormal="90" zoomScalePageLayoutView="90" workbookViewId="0">
      <selection activeCell="P16" sqref="P16:P54"/>
    </sheetView>
  </sheetViews>
  <sheetFormatPr defaultColWidth="8.85546875" defaultRowHeight="11.25" customHeight="1" x14ac:dyDescent="0.2"/>
  <cols>
    <col min="1" max="1" width="3.140625" style="76" customWidth="1"/>
    <col min="2" max="2" width="7.7109375" style="76" customWidth="1"/>
    <col min="3" max="3" width="8.7109375" style="76" customWidth="1"/>
    <col min="4" max="4" width="8.85546875" style="76" customWidth="1"/>
    <col min="5" max="5" width="7.42578125" style="76" customWidth="1"/>
    <col min="6" max="6" width="4.140625" style="76" customWidth="1"/>
    <col min="7" max="7" width="13.42578125" style="76" customWidth="1"/>
    <col min="8" max="14" width="3.42578125" style="76" customWidth="1"/>
    <col min="15" max="15" width="6.42578125" style="76" customWidth="1"/>
    <col min="16" max="16" width="8" style="76" customWidth="1"/>
    <col min="17" max="17" width="10.42578125" style="76" customWidth="1"/>
    <col min="18" max="18" width="3.28515625" style="76" customWidth="1"/>
    <col min="19" max="19" width="7.85546875" style="76" customWidth="1"/>
    <col min="20" max="20" width="23.7109375" style="76" customWidth="1"/>
    <col min="21" max="21" width="16.28515625" style="76" customWidth="1"/>
    <col min="22" max="28" width="4.28515625" style="76" customWidth="1"/>
    <col min="29" max="29" width="5.7109375" style="76" customWidth="1"/>
    <col min="30" max="30" width="7.42578125" style="76" customWidth="1"/>
    <col min="31" max="31" width="13.140625" style="76" customWidth="1"/>
    <col min="32" max="16384" width="8.85546875" style="76"/>
  </cols>
  <sheetData>
    <row r="1" spans="1:31" s="75" customFormat="1" ht="20.25" customHeight="1" x14ac:dyDescent="0.2">
      <c r="A1" s="203" t="s">
        <v>57</v>
      </c>
      <c r="B1" s="204"/>
      <c r="C1" s="204"/>
      <c r="D1" s="204"/>
      <c r="E1" s="204"/>
      <c r="F1" s="204"/>
      <c r="G1" s="204"/>
      <c r="H1" s="204"/>
      <c r="I1" s="204"/>
      <c r="J1" s="204"/>
      <c r="K1" s="204"/>
      <c r="L1" s="204"/>
      <c r="M1" s="204"/>
      <c r="N1" s="204"/>
      <c r="O1" s="204"/>
      <c r="P1" s="207" t="s">
        <v>58</v>
      </c>
      <c r="Q1" s="208"/>
      <c r="S1" s="78"/>
      <c r="T1" s="78"/>
      <c r="U1" s="78"/>
      <c r="V1" s="78"/>
      <c r="W1" s="78"/>
      <c r="X1" s="78"/>
      <c r="Y1" s="78"/>
      <c r="Z1" s="78"/>
      <c r="AA1" s="78"/>
      <c r="AB1" s="78"/>
      <c r="AC1" s="78"/>
      <c r="AD1" s="79"/>
      <c r="AE1" s="78"/>
    </row>
    <row r="2" spans="1:31" s="75" customFormat="1" ht="20.25" customHeight="1" thickBot="1" x14ac:dyDescent="0.25">
      <c r="A2" s="205"/>
      <c r="B2" s="206"/>
      <c r="C2" s="206"/>
      <c r="D2" s="206"/>
      <c r="E2" s="206"/>
      <c r="F2" s="206"/>
      <c r="G2" s="206"/>
      <c r="H2" s="206"/>
      <c r="I2" s="206"/>
      <c r="J2" s="206"/>
      <c r="K2" s="206"/>
      <c r="L2" s="206"/>
      <c r="M2" s="206"/>
      <c r="N2" s="206"/>
      <c r="O2" s="206"/>
      <c r="P2" s="209"/>
      <c r="Q2" s="210"/>
      <c r="S2" s="78"/>
      <c r="T2" s="78"/>
      <c r="U2" s="78"/>
      <c r="V2" s="78"/>
      <c r="W2" s="78"/>
      <c r="X2" s="78"/>
      <c r="Y2" s="78"/>
      <c r="Z2" s="78"/>
      <c r="AA2" s="78"/>
      <c r="AB2" s="78"/>
      <c r="AC2" s="78"/>
      <c r="AD2" s="79"/>
      <c r="AE2" s="78"/>
    </row>
    <row r="3" spans="1:31" s="75" customFormat="1" ht="14.25" customHeight="1" thickBot="1" x14ac:dyDescent="0.25">
      <c r="A3" s="211" t="s">
        <v>59</v>
      </c>
      <c r="B3" s="212"/>
      <c r="C3" s="212"/>
      <c r="D3" s="212"/>
      <c r="E3" s="212"/>
      <c r="F3" s="212"/>
      <c r="G3" s="212"/>
      <c r="H3" s="212"/>
      <c r="I3" s="212"/>
      <c r="J3" s="212"/>
      <c r="K3" s="212"/>
      <c r="L3" s="212"/>
      <c r="M3" s="212"/>
      <c r="N3" s="212"/>
      <c r="O3" s="212"/>
      <c r="P3" s="212"/>
      <c r="Q3" s="213"/>
      <c r="R3" s="80"/>
      <c r="S3" s="102"/>
      <c r="T3" s="81"/>
      <c r="U3" s="81"/>
      <c r="V3" s="81"/>
      <c r="W3" s="81"/>
      <c r="X3" s="81"/>
      <c r="Y3" s="81"/>
      <c r="Z3" s="81"/>
      <c r="AA3" s="81"/>
      <c r="AB3" s="81"/>
      <c r="AC3" s="81"/>
      <c r="AD3" s="81"/>
      <c r="AE3" s="81"/>
    </row>
    <row r="4" spans="1:31" s="81" customFormat="1" ht="2.25" customHeight="1" thickBot="1" x14ac:dyDescent="0.25">
      <c r="A4" s="1"/>
      <c r="B4" s="2"/>
      <c r="C4" s="2"/>
      <c r="D4" s="2"/>
      <c r="E4" s="2"/>
      <c r="F4" s="2"/>
      <c r="G4" s="2"/>
      <c r="H4" s="2"/>
      <c r="I4" s="2"/>
      <c r="J4" s="2"/>
      <c r="K4" s="2"/>
      <c r="L4" s="2"/>
      <c r="M4" s="2"/>
      <c r="N4" s="2"/>
      <c r="O4" s="2"/>
      <c r="P4" s="2"/>
      <c r="Q4" s="3"/>
      <c r="S4" s="82"/>
      <c r="T4" s="82"/>
      <c r="U4" s="82"/>
      <c r="V4" s="82"/>
      <c r="W4" s="82"/>
      <c r="X4" s="82"/>
      <c r="Y4" s="82"/>
      <c r="Z4" s="82"/>
      <c r="AA4" s="82"/>
      <c r="AB4" s="82"/>
      <c r="AC4" s="82"/>
      <c r="AD4" s="83"/>
      <c r="AE4" s="82"/>
    </row>
    <row r="5" spans="1:31" s="84" customFormat="1" ht="12" customHeight="1" thickBot="1" x14ac:dyDescent="0.2">
      <c r="A5" s="214" t="s">
        <v>60</v>
      </c>
      <c r="B5" s="217" t="s">
        <v>1</v>
      </c>
      <c r="C5" s="218"/>
      <c r="D5" s="218"/>
      <c r="E5" s="219"/>
      <c r="F5" s="220" t="s">
        <v>61</v>
      </c>
      <c r="G5" s="139"/>
      <c r="H5" s="139"/>
      <c r="I5" s="139"/>
      <c r="J5" s="139"/>
      <c r="K5" s="139"/>
      <c r="L5" s="139"/>
      <c r="M5" s="139"/>
      <c r="N5" s="139"/>
      <c r="O5" s="226" t="s">
        <v>62</v>
      </c>
      <c r="P5" s="226"/>
      <c r="Q5" s="227"/>
      <c r="S5" s="85"/>
      <c r="T5" s="86"/>
      <c r="U5" s="86"/>
      <c r="V5" s="85"/>
      <c r="W5" s="87"/>
      <c r="X5" s="87"/>
      <c r="Y5" s="87"/>
      <c r="Z5" s="87"/>
      <c r="AA5" s="87"/>
      <c r="AB5" s="87"/>
      <c r="AC5" s="86"/>
      <c r="AD5" s="88"/>
      <c r="AE5" s="87"/>
    </row>
    <row r="6" spans="1:31" s="84" customFormat="1" ht="12" customHeight="1" thickBot="1" x14ac:dyDescent="0.2">
      <c r="A6" s="215"/>
      <c r="B6" s="288" t="s">
        <v>4</v>
      </c>
      <c r="C6" s="288"/>
      <c r="D6" s="288"/>
      <c r="E6" s="289"/>
      <c r="F6" s="221"/>
      <c r="G6" s="139"/>
      <c r="H6" s="139"/>
      <c r="I6" s="139"/>
      <c r="J6" s="139"/>
      <c r="K6" s="139"/>
      <c r="L6" s="139"/>
      <c r="M6" s="139"/>
      <c r="N6" s="139"/>
      <c r="O6" s="140"/>
      <c r="P6" s="141"/>
      <c r="Q6" s="142"/>
      <c r="S6" s="85"/>
      <c r="T6" s="86"/>
      <c r="U6" s="86"/>
      <c r="V6" s="85"/>
      <c r="W6" s="87"/>
      <c r="X6" s="87"/>
      <c r="Y6" s="87"/>
      <c r="Z6" s="87"/>
      <c r="AA6" s="87"/>
      <c r="AB6" s="87"/>
      <c r="AC6" s="87"/>
      <c r="AD6" s="88"/>
      <c r="AE6" s="87"/>
    </row>
    <row r="7" spans="1:31" s="84" customFormat="1" ht="12" customHeight="1" thickBot="1" x14ac:dyDescent="0.2">
      <c r="A7" s="215"/>
      <c r="B7" s="290"/>
      <c r="C7" s="290"/>
      <c r="D7" s="290"/>
      <c r="E7" s="290"/>
      <c r="F7" s="221"/>
      <c r="G7" s="139"/>
      <c r="H7" s="139"/>
      <c r="I7" s="139"/>
      <c r="J7" s="139"/>
      <c r="K7" s="139"/>
      <c r="L7" s="139"/>
      <c r="M7" s="139"/>
      <c r="N7" s="139"/>
      <c r="O7" s="163" t="s">
        <v>63</v>
      </c>
      <c r="P7" s="163"/>
      <c r="Q7" s="164"/>
      <c r="S7" s="85"/>
      <c r="T7" s="86"/>
      <c r="U7" s="86"/>
      <c r="V7" s="85"/>
      <c r="W7" s="87"/>
      <c r="X7" s="87"/>
      <c r="Y7" s="87"/>
      <c r="Z7" s="87"/>
      <c r="AA7" s="87"/>
      <c r="AB7" s="87"/>
      <c r="AC7" s="89"/>
      <c r="AD7" s="88"/>
      <c r="AE7" s="87"/>
    </row>
    <row r="8" spans="1:31" s="84" customFormat="1" ht="12" customHeight="1" thickTop="1" thickBot="1" x14ac:dyDescent="0.2">
      <c r="A8" s="215"/>
      <c r="B8" s="290"/>
      <c r="C8" s="290"/>
      <c r="D8" s="290"/>
      <c r="E8" s="290"/>
      <c r="F8" s="221"/>
      <c r="G8" s="139"/>
      <c r="H8" s="139"/>
      <c r="I8" s="139"/>
      <c r="J8" s="139"/>
      <c r="K8" s="139"/>
      <c r="L8" s="139"/>
      <c r="M8" s="139"/>
      <c r="N8" s="139"/>
      <c r="O8" s="239"/>
      <c r="P8" s="239"/>
      <c r="Q8" s="240"/>
      <c r="S8" s="85"/>
      <c r="T8" s="86"/>
      <c r="U8" s="86"/>
      <c r="V8" s="85"/>
      <c r="W8" s="87"/>
      <c r="X8" s="87"/>
      <c r="Y8" s="87"/>
      <c r="Z8" s="87"/>
      <c r="AA8" s="87"/>
      <c r="AB8" s="87"/>
      <c r="AC8" s="87"/>
      <c r="AD8" s="88"/>
      <c r="AE8" s="87"/>
    </row>
    <row r="9" spans="1:31" s="84" customFormat="1" ht="14.25" customHeight="1" x14ac:dyDescent="0.15">
      <c r="A9" s="215"/>
      <c r="B9" s="284" t="s">
        <v>3</v>
      </c>
      <c r="C9" s="284"/>
      <c r="D9" s="284"/>
      <c r="E9" s="285"/>
      <c r="F9" s="221"/>
      <c r="G9" s="139"/>
      <c r="H9" s="139"/>
      <c r="I9" s="139"/>
      <c r="J9" s="139"/>
      <c r="K9" s="139"/>
      <c r="L9" s="139"/>
      <c r="M9" s="139"/>
      <c r="N9" s="139"/>
      <c r="O9" s="4" t="s">
        <v>64</v>
      </c>
      <c r="P9" s="232"/>
      <c r="Q9" s="233"/>
      <c r="S9" s="85"/>
      <c r="T9" s="86"/>
      <c r="U9" s="86"/>
      <c r="V9" s="85"/>
      <c r="W9" s="87"/>
      <c r="X9" s="87"/>
      <c r="Y9" s="87"/>
      <c r="Z9" s="87"/>
      <c r="AA9" s="87"/>
      <c r="AB9" s="87"/>
      <c r="AC9" s="90"/>
      <c r="AD9" s="88"/>
      <c r="AE9" s="87"/>
    </row>
    <row r="10" spans="1:31" s="91" customFormat="1" ht="15" customHeight="1" thickBot="1" x14ac:dyDescent="0.2">
      <c r="A10" s="216"/>
      <c r="B10" s="286" t="s">
        <v>5</v>
      </c>
      <c r="C10" s="286"/>
      <c r="D10" s="286"/>
      <c r="E10" s="287"/>
      <c r="F10" s="222"/>
      <c r="G10" s="139"/>
      <c r="H10" s="139"/>
      <c r="I10" s="139"/>
      <c r="J10" s="139"/>
      <c r="K10" s="139"/>
      <c r="L10" s="139"/>
      <c r="M10" s="139"/>
      <c r="N10" s="139"/>
      <c r="O10" s="5" t="s">
        <v>65</v>
      </c>
      <c r="P10" s="236"/>
      <c r="Q10" s="237"/>
      <c r="S10" s="85"/>
      <c r="T10" s="86"/>
      <c r="U10" s="86"/>
      <c r="V10" s="85"/>
      <c r="W10" s="87"/>
      <c r="X10" s="87"/>
      <c r="Y10" s="87"/>
      <c r="Z10" s="87"/>
      <c r="AA10" s="87"/>
      <c r="AB10" s="87"/>
      <c r="AC10" s="244"/>
      <c r="AD10" s="275"/>
      <c r="AE10" s="276"/>
    </row>
    <row r="11" spans="1:31" s="81" customFormat="1" ht="1.5" customHeight="1" thickBot="1" x14ac:dyDescent="0.25">
      <c r="A11" s="6"/>
      <c r="B11" s="7"/>
      <c r="C11" s="7"/>
      <c r="D11" s="7"/>
      <c r="E11" s="7"/>
      <c r="F11" s="7"/>
      <c r="G11" s="7"/>
      <c r="H11" s="7"/>
      <c r="I11" s="7"/>
      <c r="J11" s="7"/>
      <c r="K11" s="7"/>
      <c r="L11" s="7"/>
      <c r="M11" s="7"/>
      <c r="N11" s="7"/>
      <c r="O11" s="241"/>
      <c r="P11" s="242"/>
      <c r="Q11" s="243"/>
      <c r="S11" s="92"/>
      <c r="T11" s="92"/>
      <c r="U11" s="92"/>
      <c r="V11" s="92"/>
      <c r="W11" s="92"/>
      <c r="X11" s="92"/>
      <c r="Y11" s="92"/>
      <c r="Z11" s="92"/>
      <c r="AA11" s="92"/>
      <c r="AB11" s="92"/>
      <c r="AC11" s="244"/>
      <c r="AD11" s="275"/>
      <c r="AE11" s="276"/>
    </row>
    <row r="12" spans="1:31" ht="12" customHeight="1" thickBot="1" x14ac:dyDescent="0.25">
      <c r="A12" s="194" t="s">
        <v>66</v>
      </c>
      <c r="B12" s="195"/>
      <c r="C12" s="196"/>
      <c r="D12" s="197" t="s">
        <v>67</v>
      </c>
      <c r="E12" s="198"/>
      <c r="F12" s="198"/>
      <c r="G12" s="199"/>
      <c r="H12" s="8"/>
      <c r="I12" s="9"/>
      <c r="J12" s="9">
        <v>1</v>
      </c>
      <c r="K12" s="9">
        <v>2</v>
      </c>
      <c r="L12" s="9">
        <v>3</v>
      </c>
      <c r="M12" s="9">
        <v>4</v>
      </c>
      <c r="N12" s="9"/>
      <c r="O12" s="165"/>
      <c r="P12" s="166"/>
      <c r="Q12" s="167"/>
      <c r="S12" s="93"/>
      <c r="T12" s="94"/>
      <c r="U12" s="94"/>
      <c r="V12" s="95"/>
      <c r="W12" s="95"/>
      <c r="X12" s="95"/>
      <c r="Y12" s="95"/>
      <c r="Z12" s="95"/>
      <c r="AA12" s="95"/>
      <c r="AB12" s="95"/>
      <c r="AC12" s="94"/>
      <c r="AD12" s="127"/>
      <c r="AE12" s="97"/>
    </row>
    <row r="13" spans="1:31" s="98" customFormat="1" ht="12" customHeight="1" x14ac:dyDescent="0.2">
      <c r="A13" s="168"/>
      <c r="B13" s="169"/>
      <c r="C13" s="170"/>
      <c r="D13" s="174" t="s">
        <v>2</v>
      </c>
      <c r="E13" s="175"/>
      <c r="F13" s="175"/>
      <c r="G13" s="176"/>
      <c r="H13" s="10"/>
      <c r="I13" s="47">
        <v>38</v>
      </c>
      <c r="J13" s="47">
        <v>40</v>
      </c>
      <c r="K13" s="47">
        <v>42</v>
      </c>
      <c r="L13" s="47">
        <v>44</v>
      </c>
      <c r="M13" s="47">
        <v>46</v>
      </c>
      <c r="N13" s="47">
        <v>48</v>
      </c>
      <c r="O13" s="180"/>
      <c r="P13" s="181"/>
      <c r="Q13" s="182"/>
      <c r="S13" s="103"/>
      <c r="T13" s="103"/>
      <c r="U13" s="103"/>
      <c r="V13" s="126"/>
      <c r="W13" s="126"/>
      <c r="X13" s="126"/>
      <c r="Y13" s="126"/>
      <c r="Z13" s="126"/>
      <c r="AA13" s="126"/>
      <c r="AB13" s="126"/>
      <c r="AC13" s="103"/>
      <c r="AD13" s="105"/>
      <c r="AE13" s="105"/>
    </row>
    <row r="14" spans="1:31" s="98" customFormat="1" ht="12" customHeight="1" thickBot="1" x14ac:dyDescent="0.25">
      <c r="A14" s="171"/>
      <c r="B14" s="172"/>
      <c r="C14" s="173"/>
      <c r="D14" s="177"/>
      <c r="E14" s="178"/>
      <c r="F14" s="178"/>
      <c r="G14" s="179"/>
      <c r="H14" s="11" t="s">
        <v>68</v>
      </c>
      <c r="I14" s="12"/>
      <c r="J14" s="12" t="s">
        <v>69</v>
      </c>
      <c r="K14" s="12" t="s">
        <v>70</v>
      </c>
      <c r="L14" s="12" t="s">
        <v>71</v>
      </c>
      <c r="M14" s="12" t="s">
        <v>72</v>
      </c>
      <c r="N14" s="12"/>
      <c r="O14" s="183"/>
      <c r="P14" s="184"/>
      <c r="Q14" s="185"/>
      <c r="S14" s="106"/>
      <c r="T14" s="106"/>
      <c r="U14" s="106"/>
      <c r="V14" s="90"/>
      <c r="W14" s="126"/>
      <c r="X14" s="126"/>
      <c r="Y14" s="126"/>
      <c r="Z14" s="126"/>
      <c r="AA14" s="126"/>
      <c r="AB14" s="126"/>
      <c r="AC14" s="87"/>
      <c r="AD14" s="88"/>
      <c r="AE14" s="87"/>
    </row>
    <row r="15" spans="1:31" s="98" customFormat="1" ht="12" customHeight="1" thickBot="1" x14ac:dyDescent="0.25">
      <c r="A15" s="13"/>
      <c r="B15" s="14" t="s">
        <v>73</v>
      </c>
      <c r="C15" s="223" t="s">
        <v>74</v>
      </c>
      <c r="D15" s="224"/>
      <c r="E15" s="225"/>
      <c r="F15" s="223" t="s">
        <v>8</v>
      </c>
      <c r="G15" s="224"/>
      <c r="H15" s="15"/>
      <c r="I15" s="16"/>
      <c r="J15" s="16"/>
      <c r="K15" s="16"/>
      <c r="L15" s="16"/>
      <c r="M15" s="16"/>
      <c r="N15" s="16"/>
      <c r="O15" s="17" t="s">
        <v>75</v>
      </c>
      <c r="P15" s="14" t="s">
        <v>76</v>
      </c>
      <c r="Q15" s="18" t="s">
        <v>77</v>
      </c>
      <c r="S15" s="106"/>
      <c r="T15" s="87"/>
      <c r="U15" s="87"/>
      <c r="V15" s="126"/>
      <c r="W15" s="126"/>
      <c r="X15" s="126"/>
      <c r="Y15" s="126"/>
      <c r="Z15" s="126"/>
      <c r="AA15" s="126"/>
      <c r="AB15" s="126"/>
      <c r="AC15" s="87"/>
      <c r="AD15" s="88"/>
      <c r="AE15" s="87"/>
    </row>
    <row r="16" spans="1:31" ht="12" customHeight="1" x14ac:dyDescent="0.2">
      <c r="A16" s="19">
        <v>1</v>
      </c>
      <c r="B16" s="20"/>
      <c r="C16" s="250"/>
      <c r="D16" s="251"/>
      <c r="E16" s="252"/>
      <c r="F16" s="248"/>
      <c r="G16" s="249"/>
      <c r="H16" s="21"/>
      <c r="I16" s="22"/>
      <c r="J16" s="22"/>
      <c r="K16" s="22"/>
      <c r="L16" s="22"/>
      <c r="M16" s="22"/>
      <c r="N16" s="119"/>
      <c r="O16" s="24" t="str">
        <f t="shared" ref="O16:O35" si="0">IF(SUM(H16:N16)&gt;0,SUM(H16:N16),"")</f>
        <v/>
      </c>
      <c r="P16" s="25"/>
      <c r="Q16" s="26" t="str">
        <f>IF(P16="","",(O16*P16))</f>
        <v/>
      </c>
      <c r="S16" s="107"/>
      <c r="T16" s="107"/>
      <c r="U16" s="95"/>
      <c r="V16" s="95"/>
      <c r="W16" s="95"/>
      <c r="X16" s="95"/>
      <c r="Y16" s="95"/>
      <c r="Z16" s="95"/>
      <c r="AA16" s="95"/>
      <c r="AB16" s="95"/>
      <c r="AC16" s="95"/>
      <c r="AD16" s="108"/>
      <c r="AE16" s="127"/>
    </row>
    <row r="17" spans="1:31" ht="12" customHeight="1" x14ac:dyDescent="0.2">
      <c r="A17" s="27">
        <v>2</v>
      </c>
      <c r="B17" s="20"/>
      <c r="C17" s="189"/>
      <c r="D17" s="190"/>
      <c r="E17" s="191"/>
      <c r="F17" s="192"/>
      <c r="G17" s="193"/>
      <c r="H17" s="29"/>
      <c r="I17" s="125"/>
      <c r="J17" s="125"/>
      <c r="K17" s="125"/>
      <c r="L17" s="125"/>
      <c r="M17" s="125"/>
      <c r="N17" s="120"/>
      <c r="O17" s="32" t="str">
        <f t="shared" si="0"/>
        <v/>
      </c>
      <c r="P17" s="33"/>
      <c r="Q17" s="34" t="str">
        <f t="shared" ref="Q17:Q55" si="1">IF(P17="","",(O17*P17))</f>
        <v/>
      </c>
      <c r="S17" s="107"/>
      <c r="T17" s="107"/>
      <c r="U17" s="95"/>
      <c r="V17" s="95"/>
      <c r="W17" s="95"/>
      <c r="X17" s="95"/>
      <c r="Y17" s="95"/>
      <c r="Z17" s="95"/>
      <c r="AA17" s="95"/>
      <c r="AB17" s="95"/>
      <c r="AC17" s="95"/>
      <c r="AD17" s="108"/>
      <c r="AE17" s="127"/>
    </row>
    <row r="18" spans="1:31" ht="12" customHeight="1" x14ac:dyDescent="0.2">
      <c r="A18" s="27">
        <v>3</v>
      </c>
      <c r="B18" s="35"/>
      <c r="C18" s="189"/>
      <c r="D18" s="190"/>
      <c r="E18" s="191"/>
      <c r="F18" s="192"/>
      <c r="G18" s="193"/>
      <c r="H18" s="29"/>
      <c r="I18" s="125"/>
      <c r="J18" s="125"/>
      <c r="K18" s="125"/>
      <c r="L18" s="125"/>
      <c r="M18" s="125"/>
      <c r="N18" s="120"/>
      <c r="O18" s="32" t="str">
        <f t="shared" si="0"/>
        <v/>
      </c>
      <c r="P18" s="33"/>
      <c r="Q18" s="34" t="str">
        <f t="shared" si="1"/>
        <v/>
      </c>
      <c r="S18" s="107"/>
      <c r="T18" s="107"/>
      <c r="U18" s="95"/>
      <c r="V18" s="95"/>
      <c r="W18" s="95"/>
      <c r="X18" s="95"/>
      <c r="Y18" s="95"/>
      <c r="Z18" s="95"/>
      <c r="AA18" s="95"/>
      <c r="AB18" s="95"/>
      <c r="AC18" s="95"/>
      <c r="AD18" s="108"/>
      <c r="AE18" s="127"/>
    </row>
    <row r="19" spans="1:31" ht="12" customHeight="1" x14ac:dyDescent="0.2">
      <c r="A19" s="27">
        <v>4</v>
      </c>
      <c r="B19" s="35"/>
      <c r="C19" s="189"/>
      <c r="D19" s="190"/>
      <c r="E19" s="191"/>
      <c r="F19" s="192"/>
      <c r="G19" s="193"/>
      <c r="H19" s="29"/>
      <c r="I19" s="125"/>
      <c r="J19" s="125"/>
      <c r="K19" s="125"/>
      <c r="L19" s="125"/>
      <c r="M19" s="125"/>
      <c r="N19" s="122"/>
      <c r="O19" s="32" t="str">
        <f t="shared" si="0"/>
        <v/>
      </c>
      <c r="P19" s="33"/>
      <c r="Q19" s="34" t="str">
        <f t="shared" si="1"/>
        <v/>
      </c>
      <c r="S19" s="107"/>
      <c r="T19" s="107"/>
      <c r="U19" s="95"/>
      <c r="V19" s="95"/>
      <c r="W19" s="95"/>
      <c r="X19" s="95"/>
      <c r="Y19" s="95"/>
      <c r="Z19" s="95"/>
      <c r="AA19" s="95"/>
      <c r="AB19" s="95"/>
      <c r="AC19" s="95"/>
      <c r="AD19" s="108"/>
      <c r="AE19" s="127"/>
    </row>
    <row r="20" spans="1:31" ht="12" customHeight="1" x14ac:dyDescent="0.2">
      <c r="A20" s="27">
        <v>5</v>
      </c>
      <c r="B20" s="36"/>
      <c r="C20" s="186"/>
      <c r="D20" s="187"/>
      <c r="E20" s="188"/>
      <c r="F20" s="143"/>
      <c r="G20" s="144"/>
      <c r="H20" s="38"/>
      <c r="I20" s="36"/>
      <c r="J20" s="36"/>
      <c r="K20" s="36"/>
      <c r="L20" s="36"/>
      <c r="M20" s="36"/>
      <c r="N20" s="39"/>
      <c r="O20" s="32" t="str">
        <f t="shared" si="0"/>
        <v/>
      </c>
      <c r="P20" s="33"/>
      <c r="Q20" s="34" t="str">
        <f t="shared" si="1"/>
        <v/>
      </c>
      <c r="S20" s="107"/>
      <c r="T20" s="107"/>
      <c r="U20" s="95"/>
      <c r="V20" s="95"/>
      <c r="W20" s="95"/>
      <c r="X20" s="95"/>
      <c r="Y20" s="95"/>
      <c r="Z20" s="95"/>
      <c r="AA20" s="95"/>
      <c r="AB20" s="95"/>
      <c r="AC20" s="95"/>
      <c r="AD20" s="108"/>
      <c r="AE20" s="127"/>
    </row>
    <row r="21" spans="1:31" ht="12" customHeight="1" x14ac:dyDescent="0.2">
      <c r="A21" s="27">
        <v>6</v>
      </c>
      <c r="B21" s="36"/>
      <c r="C21" s="186"/>
      <c r="D21" s="187"/>
      <c r="E21" s="188"/>
      <c r="F21" s="143"/>
      <c r="G21" s="144"/>
      <c r="H21" s="38"/>
      <c r="I21" s="36"/>
      <c r="J21" s="36"/>
      <c r="K21" s="36"/>
      <c r="L21" s="36"/>
      <c r="M21" s="36"/>
      <c r="N21" s="122"/>
      <c r="O21" s="32" t="str">
        <f t="shared" si="0"/>
        <v/>
      </c>
      <c r="P21" s="33"/>
      <c r="Q21" s="34" t="str">
        <f t="shared" si="1"/>
        <v/>
      </c>
      <c r="S21" s="107"/>
      <c r="T21" s="107"/>
      <c r="U21" s="95"/>
      <c r="V21" s="95"/>
      <c r="W21" s="95"/>
      <c r="X21" s="95"/>
      <c r="Y21" s="95"/>
      <c r="Z21" s="95"/>
      <c r="AA21" s="95"/>
      <c r="AB21" s="95"/>
      <c r="AC21" s="95"/>
      <c r="AE21" s="127"/>
    </row>
    <row r="22" spans="1:31" ht="12" customHeight="1" x14ac:dyDescent="0.2">
      <c r="A22" s="19">
        <v>7</v>
      </c>
      <c r="B22" s="36"/>
      <c r="C22" s="186"/>
      <c r="D22" s="187"/>
      <c r="E22" s="188"/>
      <c r="F22" s="143"/>
      <c r="G22" s="144"/>
      <c r="H22" s="38"/>
      <c r="I22" s="36"/>
      <c r="J22" s="36"/>
      <c r="K22" s="36"/>
      <c r="L22" s="36"/>
      <c r="M22" s="36"/>
      <c r="N22" s="122"/>
      <c r="O22" s="32" t="str">
        <f t="shared" si="0"/>
        <v/>
      </c>
      <c r="P22" s="33"/>
      <c r="Q22" s="34" t="str">
        <f t="shared" si="1"/>
        <v/>
      </c>
      <c r="S22" s="107"/>
      <c r="T22" s="107"/>
      <c r="U22" s="95"/>
      <c r="V22" s="95"/>
      <c r="W22" s="95"/>
      <c r="X22" s="95"/>
      <c r="Y22" s="95"/>
      <c r="Z22" s="95"/>
      <c r="AA22" s="95"/>
      <c r="AB22" s="95"/>
      <c r="AC22" s="95"/>
      <c r="AD22" s="108"/>
      <c r="AE22" s="127"/>
    </row>
    <row r="23" spans="1:31" ht="12" customHeight="1" x14ac:dyDescent="0.2">
      <c r="A23" s="27">
        <v>8</v>
      </c>
      <c r="B23" s="40"/>
      <c r="C23" s="186"/>
      <c r="D23" s="187"/>
      <c r="E23" s="188"/>
      <c r="F23" s="143"/>
      <c r="G23" s="144"/>
      <c r="H23" s="41"/>
      <c r="I23" s="40"/>
      <c r="J23" s="40"/>
      <c r="K23" s="40"/>
      <c r="L23" s="40"/>
      <c r="M23" s="40"/>
      <c r="N23" s="122"/>
      <c r="O23" s="32" t="str">
        <f t="shared" si="0"/>
        <v/>
      </c>
      <c r="P23" s="33"/>
      <c r="Q23" s="34" t="str">
        <f t="shared" si="1"/>
        <v/>
      </c>
      <c r="S23" s="107"/>
      <c r="T23" s="107"/>
      <c r="U23" s="95"/>
      <c r="V23" s="95"/>
      <c r="W23" s="95"/>
      <c r="X23" s="95"/>
      <c r="Y23" s="95"/>
      <c r="Z23" s="95"/>
      <c r="AA23" s="95"/>
      <c r="AB23" s="95"/>
      <c r="AC23" s="95"/>
      <c r="AD23" s="108"/>
      <c r="AE23" s="127"/>
    </row>
    <row r="24" spans="1:31" ht="12" customHeight="1" x14ac:dyDescent="0.2">
      <c r="A24" s="27">
        <v>9</v>
      </c>
      <c r="B24" s="40"/>
      <c r="C24" s="186"/>
      <c r="D24" s="187"/>
      <c r="E24" s="188"/>
      <c r="F24" s="143"/>
      <c r="G24" s="144"/>
      <c r="H24" s="41"/>
      <c r="I24" s="40"/>
      <c r="J24" s="40"/>
      <c r="K24" s="40"/>
      <c r="L24" s="40"/>
      <c r="M24" s="40"/>
      <c r="N24" s="122"/>
      <c r="O24" s="32" t="str">
        <f t="shared" si="0"/>
        <v/>
      </c>
      <c r="P24" s="33"/>
      <c r="Q24" s="34" t="str">
        <f t="shared" si="1"/>
        <v/>
      </c>
      <c r="S24" s="107"/>
      <c r="T24" s="107"/>
      <c r="U24" s="95"/>
      <c r="V24" s="95"/>
      <c r="W24" s="95"/>
      <c r="X24" s="95"/>
      <c r="Y24" s="95"/>
      <c r="Z24" s="95"/>
      <c r="AA24" s="95"/>
      <c r="AB24" s="95"/>
      <c r="AC24" s="95"/>
      <c r="AD24" s="108"/>
      <c r="AE24" s="127"/>
    </row>
    <row r="25" spans="1:31" ht="12" customHeight="1" x14ac:dyDescent="0.2">
      <c r="A25" s="27">
        <v>10</v>
      </c>
      <c r="B25" s="40"/>
      <c r="C25" s="186"/>
      <c r="D25" s="187"/>
      <c r="E25" s="188"/>
      <c r="F25" s="143"/>
      <c r="G25" s="144"/>
      <c r="H25" s="41"/>
      <c r="I25" s="40"/>
      <c r="J25" s="40"/>
      <c r="K25" s="40"/>
      <c r="L25" s="40"/>
      <c r="M25" s="40"/>
      <c r="N25" s="122"/>
      <c r="O25" s="32" t="str">
        <f t="shared" si="0"/>
        <v/>
      </c>
      <c r="P25" s="33"/>
      <c r="Q25" s="34" t="str">
        <f t="shared" si="1"/>
        <v/>
      </c>
      <c r="S25" s="107"/>
      <c r="T25" s="107"/>
      <c r="U25" s="95"/>
      <c r="V25" s="95"/>
      <c r="W25" s="95"/>
      <c r="X25" s="95"/>
      <c r="Y25" s="95"/>
      <c r="Z25" s="95"/>
      <c r="AA25" s="95"/>
      <c r="AB25" s="95"/>
      <c r="AC25" s="95"/>
      <c r="AD25" s="108"/>
      <c r="AE25" s="127"/>
    </row>
    <row r="26" spans="1:31" ht="12" customHeight="1" x14ac:dyDescent="0.2">
      <c r="A26" s="27">
        <v>11</v>
      </c>
      <c r="B26" s="40"/>
      <c r="C26" s="186"/>
      <c r="D26" s="187"/>
      <c r="E26" s="188"/>
      <c r="F26" s="143"/>
      <c r="G26" s="144"/>
      <c r="H26" s="41"/>
      <c r="I26" s="40"/>
      <c r="J26" s="40"/>
      <c r="K26" s="40"/>
      <c r="L26" s="40"/>
      <c r="M26" s="40"/>
      <c r="N26" s="122"/>
      <c r="O26" s="32" t="str">
        <f t="shared" si="0"/>
        <v/>
      </c>
      <c r="P26" s="33"/>
      <c r="Q26" s="34" t="str">
        <f t="shared" si="1"/>
        <v/>
      </c>
      <c r="S26" s="107"/>
      <c r="T26" s="107"/>
      <c r="U26" s="95"/>
      <c r="V26" s="95"/>
      <c r="W26" s="95"/>
      <c r="X26" s="95"/>
      <c r="Y26" s="95"/>
      <c r="Z26" s="95"/>
      <c r="AA26" s="95"/>
      <c r="AB26" s="95"/>
      <c r="AC26" s="95"/>
      <c r="AD26" s="108"/>
      <c r="AE26" s="127"/>
    </row>
    <row r="27" spans="1:31" ht="12" customHeight="1" x14ac:dyDescent="0.2">
      <c r="A27" s="27">
        <v>12</v>
      </c>
      <c r="B27" s="40"/>
      <c r="C27" s="186"/>
      <c r="D27" s="187"/>
      <c r="E27" s="188"/>
      <c r="F27" s="143"/>
      <c r="G27" s="144"/>
      <c r="H27" s="41"/>
      <c r="I27" s="40"/>
      <c r="J27" s="40"/>
      <c r="K27" s="40"/>
      <c r="L27" s="40"/>
      <c r="M27" s="40"/>
      <c r="N27" s="122"/>
      <c r="O27" s="32" t="str">
        <f t="shared" si="0"/>
        <v/>
      </c>
      <c r="P27" s="33"/>
      <c r="Q27" s="34" t="str">
        <f t="shared" si="1"/>
        <v/>
      </c>
      <c r="U27" s="95"/>
      <c r="V27" s="95"/>
      <c r="W27" s="95"/>
      <c r="X27" s="95"/>
      <c r="Y27" s="95"/>
      <c r="Z27" s="95"/>
      <c r="AA27" s="95"/>
      <c r="AB27" s="95"/>
      <c r="AC27" s="95"/>
      <c r="AE27" s="127"/>
    </row>
    <row r="28" spans="1:31" ht="12" customHeight="1" x14ac:dyDescent="0.2">
      <c r="A28" s="27">
        <v>13</v>
      </c>
      <c r="B28" s="40"/>
      <c r="C28" s="186"/>
      <c r="D28" s="187"/>
      <c r="E28" s="188"/>
      <c r="F28" s="143"/>
      <c r="G28" s="144"/>
      <c r="H28" s="41"/>
      <c r="I28" s="40"/>
      <c r="J28" s="40"/>
      <c r="K28" s="40"/>
      <c r="L28" s="40"/>
      <c r="M28" s="40"/>
      <c r="N28" s="123"/>
      <c r="O28" s="32" t="str">
        <f t="shared" si="0"/>
        <v/>
      </c>
      <c r="P28" s="42"/>
      <c r="Q28" s="34" t="str">
        <f t="shared" si="1"/>
        <v/>
      </c>
      <c r="S28" s="107"/>
      <c r="T28" s="107"/>
      <c r="U28" s="95"/>
      <c r="V28" s="95"/>
      <c r="W28" s="95"/>
      <c r="X28" s="95"/>
      <c r="Y28" s="95"/>
      <c r="Z28" s="95"/>
      <c r="AA28" s="95"/>
      <c r="AB28" s="95"/>
      <c r="AC28" s="95"/>
      <c r="AD28" s="108"/>
      <c r="AE28" s="127"/>
    </row>
    <row r="29" spans="1:31" ht="12" customHeight="1" x14ac:dyDescent="0.2">
      <c r="A29" s="27">
        <v>14</v>
      </c>
      <c r="B29" s="118"/>
      <c r="C29" s="200"/>
      <c r="D29" s="201"/>
      <c r="E29" s="202"/>
      <c r="F29" s="160"/>
      <c r="G29" s="162"/>
      <c r="H29" s="45"/>
      <c r="I29" s="118"/>
      <c r="J29" s="118"/>
      <c r="K29" s="118"/>
      <c r="L29" s="118"/>
      <c r="M29" s="118"/>
      <c r="N29" s="123"/>
      <c r="O29" s="32" t="str">
        <f t="shared" si="0"/>
        <v/>
      </c>
      <c r="P29" s="42"/>
      <c r="Q29" s="34" t="str">
        <f t="shared" si="1"/>
        <v/>
      </c>
      <c r="S29" s="107"/>
      <c r="T29" s="107"/>
      <c r="U29" s="95"/>
      <c r="V29" s="95"/>
      <c r="W29" s="95"/>
      <c r="X29" s="95"/>
      <c r="Y29" s="95"/>
      <c r="Z29" s="95"/>
      <c r="AA29" s="95"/>
      <c r="AB29" s="95"/>
      <c r="AC29" s="95"/>
      <c r="AD29" s="108"/>
      <c r="AE29" s="127"/>
    </row>
    <row r="30" spans="1:31" ht="12" customHeight="1" x14ac:dyDescent="0.2">
      <c r="A30" s="27">
        <v>15</v>
      </c>
      <c r="B30" s="118"/>
      <c r="C30" s="200"/>
      <c r="D30" s="201"/>
      <c r="E30" s="202"/>
      <c r="F30" s="160"/>
      <c r="G30" s="162"/>
      <c r="H30" s="45"/>
      <c r="I30" s="118"/>
      <c r="J30" s="118"/>
      <c r="K30" s="118"/>
      <c r="L30" s="118"/>
      <c r="M30" s="118"/>
      <c r="N30" s="123"/>
      <c r="O30" s="32" t="str">
        <f t="shared" si="0"/>
        <v/>
      </c>
      <c r="P30" s="42"/>
      <c r="Q30" s="34" t="str">
        <f t="shared" si="1"/>
        <v/>
      </c>
      <c r="S30" s="107"/>
      <c r="T30" s="107"/>
      <c r="U30" s="95"/>
      <c r="V30" s="95"/>
      <c r="W30" s="95"/>
      <c r="X30" s="95"/>
      <c r="Y30" s="95"/>
      <c r="Z30" s="95"/>
      <c r="AA30" s="95"/>
      <c r="AB30" s="95"/>
      <c r="AC30" s="95"/>
      <c r="AD30" s="108"/>
      <c r="AE30" s="127"/>
    </row>
    <row r="31" spans="1:31" ht="12" customHeight="1" x14ac:dyDescent="0.2">
      <c r="A31" s="27">
        <v>16</v>
      </c>
      <c r="B31" s="118"/>
      <c r="C31" s="200"/>
      <c r="D31" s="201"/>
      <c r="E31" s="202"/>
      <c r="F31" s="160"/>
      <c r="G31" s="162"/>
      <c r="H31" s="45"/>
      <c r="I31" s="118"/>
      <c r="J31" s="118"/>
      <c r="K31" s="118"/>
      <c r="L31" s="118"/>
      <c r="M31" s="118"/>
      <c r="N31" s="123"/>
      <c r="O31" s="32" t="str">
        <f t="shared" si="0"/>
        <v/>
      </c>
      <c r="P31" s="42"/>
      <c r="Q31" s="34" t="str">
        <f t="shared" si="1"/>
        <v/>
      </c>
      <c r="S31" s="107"/>
      <c r="T31" s="107"/>
      <c r="U31" s="95"/>
      <c r="V31" s="95"/>
      <c r="W31" s="95"/>
      <c r="X31" s="95"/>
      <c r="Y31" s="95"/>
      <c r="Z31" s="95"/>
      <c r="AA31" s="95"/>
      <c r="AB31" s="95"/>
      <c r="AC31" s="95"/>
      <c r="AD31" s="108"/>
      <c r="AE31" s="127"/>
    </row>
    <row r="32" spans="1:31" ht="12" customHeight="1" x14ac:dyDescent="0.2">
      <c r="A32" s="27">
        <v>17</v>
      </c>
      <c r="B32" s="118"/>
      <c r="C32" s="200"/>
      <c r="D32" s="201"/>
      <c r="E32" s="202"/>
      <c r="F32" s="160"/>
      <c r="G32" s="162"/>
      <c r="H32" s="45"/>
      <c r="I32" s="118"/>
      <c r="J32" s="118"/>
      <c r="K32" s="118"/>
      <c r="L32" s="118"/>
      <c r="M32" s="118"/>
      <c r="N32" s="123"/>
      <c r="O32" s="32" t="str">
        <f t="shared" si="0"/>
        <v/>
      </c>
      <c r="P32" s="42"/>
      <c r="Q32" s="34" t="str">
        <f t="shared" si="1"/>
        <v/>
      </c>
      <c r="S32" s="107"/>
      <c r="T32" s="107"/>
      <c r="U32" s="95"/>
      <c r="V32" s="95"/>
      <c r="W32" s="95"/>
      <c r="X32" s="95"/>
      <c r="Y32" s="95"/>
      <c r="Z32" s="95"/>
      <c r="AA32" s="95"/>
      <c r="AB32" s="95"/>
      <c r="AC32" s="95"/>
      <c r="AE32" s="127"/>
    </row>
    <row r="33" spans="1:31" ht="12" customHeight="1" x14ac:dyDescent="0.2">
      <c r="A33" s="27">
        <v>18</v>
      </c>
      <c r="B33" s="118"/>
      <c r="C33" s="200"/>
      <c r="D33" s="201"/>
      <c r="E33" s="202"/>
      <c r="F33" s="160"/>
      <c r="G33" s="162"/>
      <c r="H33" s="45"/>
      <c r="I33" s="118"/>
      <c r="J33" s="118"/>
      <c r="K33" s="118"/>
      <c r="L33" s="118"/>
      <c r="M33" s="118"/>
      <c r="N33" s="123"/>
      <c r="O33" s="32" t="str">
        <f t="shared" si="0"/>
        <v/>
      </c>
      <c r="P33" s="42"/>
      <c r="Q33" s="34" t="str">
        <f t="shared" si="1"/>
        <v/>
      </c>
      <c r="S33" s="107"/>
      <c r="T33" s="107"/>
      <c r="U33" s="95"/>
      <c r="V33" s="95"/>
      <c r="W33" s="95"/>
      <c r="X33" s="95"/>
      <c r="Y33" s="95"/>
      <c r="Z33" s="95"/>
      <c r="AA33" s="95"/>
      <c r="AB33" s="95"/>
      <c r="AC33" s="95"/>
      <c r="AD33" s="108"/>
      <c r="AE33" s="127"/>
    </row>
    <row r="34" spans="1:31" ht="12" customHeight="1" x14ac:dyDescent="0.2">
      <c r="A34" s="27">
        <v>19</v>
      </c>
      <c r="B34" s="118"/>
      <c r="C34" s="200"/>
      <c r="D34" s="201"/>
      <c r="E34" s="202"/>
      <c r="F34" s="271"/>
      <c r="G34" s="272"/>
      <c r="H34" s="45"/>
      <c r="I34" s="118"/>
      <c r="J34" s="118"/>
      <c r="K34" s="118"/>
      <c r="L34" s="118"/>
      <c r="M34" s="118"/>
      <c r="N34" s="123"/>
      <c r="O34" s="32" t="str">
        <f t="shared" si="0"/>
        <v/>
      </c>
      <c r="P34" s="42"/>
      <c r="Q34" s="34" t="str">
        <f t="shared" si="1"/>
        <v/>
      </c>
      <c r="S34" s="107"/>
      <c r="T34" s="107"/>
      <c r="U34" s="95"/>
      <c r="V34" s="95"/>
      <c r="W34" s="95"/>
      <c r="X34" s="95"/>
      <c r="Y34" s="95"/>
      <c r="Z34" s="95"/>
      <c r="AA34" s="95"/>
      <c r="AB34" s="95"/>
      <c r="AC34" s="95"/>
      <c r="AD34" s="108"/>
      <c r="AE34" s="127"/>
    </row>
    <row r="35" spans="1:31" ht="12" customHeight="1" x14ac:dyDescent="0.2">
      <c r="A35" s="46">
        <v>20</v>
      </c>
      <c r="B35" s="118"/>
      <c r="C35" s="274"/>
      <c r="D35" s="274"/>
      <c r="E35" s="200"/>
      <c r="F35" s="277"/>
      <c r="G35" s="278"/>
      <c r="H35" s="124"/>
      <c r="I35" s="118"/>
      <c r="J35" s="118"/>
      <c r="K35" s="118"/>
      <c r="L35" s="118"/>
      <c r="M35" s="118"/>
      <c r="N35" s="118"/>
      <c r="O35" s="32" t="str">
        <f t="shared" si="0"/>
        <v/>
      </c>
      <c r="P35" s="42"/>
      <c r="Q35" s="34" t="str">
        <f t="shared" si="1"/>
        <v/>
      </c>
      <c r="S35" s="107"/>
      <c r="T35" s="107"/>
      <c r="U35" s="95"/>
      <c r="V35" s="95"/>
      <c r="W35" s="95"/>
      <c r="X35" s="95"/>
      <c r="Y35" s="95"/>
      <c r="Z35" s="95"/>
      <c r="AA35" s="95"/>
      <c r="AB35" s="95"/>
      <c r="AC35" s="95"/>
      <c r="AD35" s="108"/>
      <c r="AE35" s="127"/>
    </row>
    <row r="36" spans="1:31" ht="12" customHeight="1" x14ac:dyDescent="0.2">
      <c r="A36" s="19">
        <v>21</v>
      </c>
      <c r="B36" s="35"/>
      <c r="C36" s="245"/>
      <c r="D36" s="245"/>
      <c r="E36" s="189"/>
      <c r="F36" s="246"/>
      <c r="G36" s="247"/>
      <c r="H36" s="121"/>
      <c r="I36" s="125"/>
      <c r="J36" s="125"/>
      <c r="K36" s="125"/>
      <c r="L36" s="125"/>
      <c r="M36" s="125"/>
      <c r="N36" s="125"/>
      <c r="O36" s="32" t="str">
        <f t="shared" ref="O36:O55" si="2">IF(SUM(H36:N36)&gt;0,SUM(H36:N36),"")</f>
        <v/>
      </c>
      <c r="P36" s="42"/>
      <c r="Q36" s="34" t="str">
        <f t="shared" si="1"/>
        <v/>
      </c>
      <c r="S36" s="107"/>
      <c r="T36" s="107"/>
      <c r="U36" s="95"/>
      <c r="V36" s="95"/>
      <c r="W36" s="95"/>
      <c r="X36" s="95"/>
      <c r="Y36" s="95"/>
      <c r="Z36" s="95"/>
      <c r="AA36" s="95"/>
      <c r="AB36" s="95"/>
      <c r="AC36" s="95"/>
      <c r="AD36" s="108"/>
      <c r="AE36" s="127"/>
    </row>
    <row r="37" spans="1:31" ht="12" customHeight="1" x14ac:dyDescent="0.2">
      <c r="A37" s="27">
        <v>22</v>
      </c>
      <c r="B37" s="35"/>
      <c r="C37" s="189"/>
      <c r="D37" s="190"/>
      <c r="E37" s="191"/>
      <c r="F37" s="248"/>
      <c r="G37" s="249"/>
      <c r="H37" s="29"/>
      <c r="I37" s="125"/>
      <c r="J37" s="125"/>
      <c r="K37" s="125"/>
      <c r="L37" s="125"/>
      <c r="M37" s="125"/>
      <c r="N37" s="120"/>
      <c r="O37" s="32" t="str">
        <f t="shared" si="2"/>
        <v/>
      </c>
      <c r="P37" s="42"/>
      <c r="Q37" s="34" t="str">
        <f t="shared" si="1"/>
        <v/>
      </c>
      <c r="S37" s="107"/>
      <c r="T37" s="107"/>
      <c r="U37" s="95"/>
      <c r="V37" s="95"/>
      <c r="W37" s="95"/>
      <c r="X37" s="95"/>
      <c r="Y37" s="95"/>
      <c r="Z37" s="95"/>
      <c r="AA37" s="95"/>
      <c r="AB37" s="95"/>
      <c r="AC37" s="95"/>
      <c r="AD37" s="108"/>
      <c r="AE37" s="127"/>
    </row>
    <row r="38" spans="1:31" ht="12" customHeight="1" x14ac:dyDescent="0.2">
      <c r="A38" s="27">
        <v>23</v>
      </c>
      <c r="B38" s="35"/>
      <c r="C38" s="189"/>
      <c r="D38" s="190"/>
      <c r="E38" s="191"/>
      <c r="F38" s="192"/>
      <c r="G38" s="193"/>
      <c r="H38" s="29"/>
      <c r="I38" s="125"/>
      <c r="J38" s="125"/>
      <c r="K38" s="125"/>
      <c r="L38" s="125"/>
      <c r="M38" s="125"/>
      <c r="N38" s="120"/>
      <c r="O38" s="32" t="str">
        <f t="shared" si="2"/>
        <v/>
      </c>
      <c r="P38" s="42"/>
      <c r="Q38" s="34" t="str">
        <f t="shared" si="1"/>
        <v/>
      </c>
      <c r="S38" s="107"/>
      <c r="T38" s="107"/>
      <c r="U38" s="95"/>
      <c r="V38" s="95"/>
      <c r="W38" s="95"/>
      <c r="X38" s="95"/>
      <c r="Y38" s="95"/>
      <c r="Z38" s="95"/>
      <c r="AA38" s="95"/>
      <c r="AB38" s="95"/>
      <c r="AC38" s="95"/>
      <c r="AD38" s="108"/>
      <c r="AE38" s="127"/>
    </row>
    <row r="39" spans="1:31" ht="12" customHeight="1" x14ac:dyDescent="0.2">
      <c r="A39" s="27">
        <v>24</v>
      </c>
      <c r="B39" s="35"/>
      <c r="C39" s="189"/>
      <c r="D39" s="190"/>
      <c r="E39" s="191"/>
      <c r="F39" s="192"/>
      <c r="G39" s="193"/>
      <c r="H39" s="29"/>
      <c r="I39" s="125"/>
      <c r="J39" s="125"/>
      <c r="K39" s="125"/>
      <c r="L39" s="125"/>
      <c r="M39" s="125"/>
      <c r="N39" s="122"/>
      <c r="O39" s="32" t="str">
        <f t="shared" si="2"/>
        <v/>
      </c>
      <c r="P39" s="42"/>
      <c r="Q39" s="34" t="str">
        <f t="shared" si="1"/>
        <v/>
      </c>
      <c r="S39" s="107"/>
      <c r="T39" s="107"/>
      <c r="U39" s="95"/>
      <c r="V39" s="95"/>
      <c r="W39" s="95"/>
      <c r="X39" s="95"/>
      <c r="Y39" s="95"/>
      <c r="Z39" s="95"/>
      <c r="AA39" s="95"/>
      <c r="AB39" s="95"/>
      <c r="AC39" s="95"/>
      <c r="AE39" s="127"/>
    </row>
    <row r="40" spans="1:31" ht="12" customHeight="1" x14ac:dyDescent="0.2">
      <c r="A40" s="27">
        <v>25</v>
      </c>
      <c r="B40" s="35"/>
      <c r="C40" s="189"/>
      <c r="D40" s="190"/>
      <c r="E40" s="191"/>
      <c r="F40" s="143"/>
      <c r="G40" s="144"/>
      <c r="H40" s="38"/>
      <c r="I40" s="36"/>
      <c r="J40" s="36"/>
      <c r="K40" s="36"/>
      <c r="L40" s="36"/>
      <c r="M40" s="36"/>
      <c r="N40" s="39"/>
      <c r="O40" s="32" t="str">
        <f t="shared" si="2"/>
        <v/>
      </c>
      <c r="P40" s="42"/>
      <c r="Q40" s="34" t="str">
        <f t="shared" si="1"/>
        <v/>
      </c>
      <c r="S40" s="107"/>
      <c r="T40" s="107"/>
      <c r="U40" s="95"/>
      <c r="V40" s="95"/>
      <c r="W40" s="95"/>
      <c r="X40" s="95"/>
      <c r="Y40" s="95"/>
      <c r="Z40" s="95"/>
      <c r="AA40" s="95"/>
      <c r="AB40" s="95"/>
      <c r="AC40" s="95"/>
      <c r="AD40" s="108"/>
      <c r="AE40" s="127"/>
    </row>
    <row r="41" spans="1:31" ht="12" customHeight="1" x14ac:dyDescent="0.2">
      <c r="A41" s="27">
        <v>26</v>
      </c>
      <c r="B41" s="36"/>
      <c r="C41" s="186"/>
      <c r="D41" s="187"/>
      <c r="E41" s="188"/>
      <c r="F41" s="143"/>
      <c r="G41" s="144"/>
      <c r="H41" s="38"/>
      <c r="I41" s="36"/>
      <c r="J41" s="36"/>
      <c r="K41" s="36"/>
      <c r="L41" s="36"/>
      <c r="M41" s="36"/>
      <c r="N41" s="122"/>
      <c r="O41" s="32" t="str">
        <f t="shared" si="2"/>
        <v/>
      </c>
      <c r="P41" s="42"/>
      <c r="Q41" s="34" t="str">
        <f t="shared" si="1"/>
        <v/>
      </c>
      <c r="S41" s="107"/>
      <c r="T41" s="107"/>
      <c r="U41" s="95"/>
      <c r="V41" s="95"/>
      <c r="W41" s="95"/>
      <c r="X41" s="95"/>
      <c r="Y41" s="95"/>
      <c r="Z41" s="95"/>
      <c r="AA41" s="95"/>
      <c r="AB41" s="95"/>
      <c r="AC41" s="95"/>
      <c r="AD41" s="108"/>
      <c r="AE41" s="127"/>
    </row>
    <row r="42" spans="1:31" ht="12" customHeight="1" x14ac:dyDescent="0.2">
      <c r="A42" s="27">
        <v>27</v>
      </c>
      <c r="B42" s="36"/>
      <c r="C42" s="186"/>
      <c r="D42" s="187"/>
      <c r="E42" s="188"/>
      <c r="F42" s="143"/>
      <c r="G42" s="144"/>
      <c r="H42" s="38"/>
      <c r="I42" s="36"/>
      <c r="J42" s="36"/>
      <c r="K42" s="36"/>
      <c r="L42" s="36"/>
      <c r="M42" s="36"/>
      <c r="N42" s="122"/>
      <c r="O42" s="32" t="str">
        <f t="shared" si="2"/>
        <v/>
      </c>
      <c r="P42" s="42"/>
      <c r="Q42" s="34" t="str">
        <f t="shared" si="1"/>
        <v/>
      </c>
      <c r="S42" s="107"/>
      <c r="T42" s="107"/>
      <c r="U42" s="95"/>
      <c r="V42" s="95"/>
      <c r="W42" s="95"/>
      <c r="X42" s="95"/>
      <c r="Y42" s="95"/>
      <c r="Z42" s="95"/>
      <c r="AA42" s="95"/>
      <c r="AB42" s="95"/>
      <c r="AC42" s="95"/>
      <c r="AD42" s="108"/>
      <c r="AE42" s="127"/>
    </row>
    <row r="43" spans="1:31" ht="12" customHeight="1" x14ac:dyDescent="0.2">
      <c r="A43" s="27">
        <v>28</v>
      </c>
      <c r="B43" s="40"/>
      <c r="C43" s="186"/>
      <c r="D43" s="187"/>
      <c r="E43" s="188"/>
      <c r="F43" s="143"/>
      <c r="G43" s="144"/>
      <c r="H43" s="41"/>
      <c r="I43" s="40"/>
      <c r="J43" s="40"/>
      <c r="K43" s="40"/>
      <c r="L43" s="40"/>
      <c r="M43" s="40"/>
      <c r="N43" s="122"/>
      <c r="O43" s="32" t="str">
        <f t="shared" si="2"/>
        <v/>
      </c>
      <c r="P43" s="42"/>
      <c r="Q43" s="34" t="str">
        <f t="shared" si="1"/>
        <v/>
      </c>
      <c r="S43" s="107"/>
      <c r="T43" s="107"/>
      <c r="U43" s="95"/>
      <c r="V43" s="95"/>
      <c r="W43" s="95"/>
      <c r="X43" s="95"/>
      <c r="Y43" s="95"/>
      <c r="Z43" s="95"/>
      <c r="AA43" s="95"/>
      <c r="AB43" s="95"/>
      <c r="AC43" s="95"/>
      <c r="AD43" s="108"/>
      <c r="AE43" s="127"/>
    </row>
    <row r="44" spans="1:31" ht="12" customHeight="1" x14ac:dyDescent="0.2">
      <c r="A44" s="27">
        <v>29</v>
      </c>
      <c r="B44" s="40"/>
      <c r="C44" s="186"/>
      <c r="D44" s="187"/>
      <c r="E44" s="188"/>
      <c r="F44" s="143"/>
      <c r="G44" s="144"/>
      <c r="H44" s="41"/>
      <c r="I44" s="40"/>
      <c r="J44" s="40"/>
      <c r="K44" s="40"/>
      <c r="L44" s="40"/>
      <c r="M44" s="40"/>
      <c r="N44" s="122"/>
      <c r="O44" s="32" t="str">
        <f t="shared" si="2"/>
        <v/>
      </c>
      <c r="P44" s="42"/>
      <c r="Q44" s="34" t="str">
        <f t="shared" si="1"/>
        <v/>
      </c>
      <c r="S44" s="107"/>
      <c r="T44" s="107"/>
      <c r="U44" s="95"/>
      <c r="V44" s="95"/>
      <c r="W44" s="95"/>
      <c r="X44" s="95"/>
      <c r="Y44" s="95"/>
      <c r="Z44" s="95"/>
      <c r="AA44" s="95"/>
      <c r="AB44" s="95"/>
      <c r="AC44" s="95"/>
      <c r="AE44" s="127"/>
    </row>
    <row r="45" spans="1:31" ht="12" customHeight="1" x14ac:dyDescent="0.2">
      <c r="A45" s="27">
        <v>30</v>
      </c>
      <c r="B45" s="40"/>
      <c r="C45" s="186"/>
      <c r="D45" s="187"/>
      <c r="E45" s="188"/>
      <c r="F45" s="143"/>
      <c r="G45" s="144"/>
      <c r="H45" s="41"/>
      <c r="I45" s="40"/>
      <c r="J45" s="40"/>
      <c r="K45" s="40"/>
      <c r="L45" s="40"/>
      <c r="M45" s="40"/>
      <c r="N45" s="122"/>
      <c r="O45" s="32" t="str">
        <f t="shared" si="2"/>
        <v/>
      </c>
      <c r="P45" s="42"/>
      <c r="Q45" s="34" t="str">
        <f t="shared" si="1"/>
        <v/>
      </c>
      <c r="S45" s="107"/>
      <c r="T45" s="107"/>
      <c r="U45" s="95"/>
      <c r="V45" s="95"/>
      <c r="W45" s="95"/>
      <c r="X45" s="95"/>
      <c r="Y45" s="95"/>
      <c r="Z45" s="95"/>
      <c r="AA45" s="95"/>
      <c r="AB45" s="95"/>
      <c r="AC45" s="95"/>
      <c r="AD45" s="108"/>
      <c r="AE45" s="127"/>
    </row>
    <row r="46" spans="1:31" ht="12" customHeight="1" x14ac:dyDescent="0.2">
      <c r="A46" s="27">
        <v>31</v>
      </c>
      <c r="B46" s="40"/>
      <c r="C46" s="186"/>
      <c r="D46" s="187"/>
      <c r="E46" s="188"/>
      <c r="F46" s="143"/>
      <c r="G46" s="144"/>
      <c r="H46" s="41"/>
      <c r="I46" s="40"/>
      <c r="J46" s="40"/>
      <c r="K46" s="40"/>
      <c r="L46" s="40"/>
      <c r="M46" s="40"/>
      <c r="N46" s="122"/>
      <c r="O46" s="32" t="str">
        <f t="shared" si="2"/>
        <v/>
      </c>
      <c r="P46" s="42"/>
      <c r="Q46" s="34" t="str">
        <f t="shared" si="1"/>
        <v/>
      </c>
      <c r="S46" s="107"/>
      <c r="T46" s="107"/>
      <c r="U46" s="95"/>
      <c r="V46" s="95"/>
      <c r="W46" s="95"/>
      <c r="X46" s="95"/>
      <c r="Y46" s="95"/>
      <c r="Z46" s="95"/>
      <c r="AA46" s="95"/>
      <c r="AB46" s="95"/>
      <c r="AC46" s="95"/>
      <c r="AD46" s="108"/>
      <c r="AE46" s="127"/>
    </row>
    <row r="47" spans="1:31" ht="12" customHeight="1" x14ac:dyDescent="0.2">
      <c r="A47" s="27">
        <v>32</v>
      </c>
      <c r="B47" s="40"/>
      <c r="C47" s="186"/>
      <c r="D47" s="187"/>
      <c r="E47" s="188"/>
      <c r="F47" s="143"/>
      <c r="G47" s="144"/>
      <c r="H47" s="41"/>
      <c r="I47" s="40"/>
      <c r="J47" s="40"/>
      <c r="K47" s="40"/>
      <c r="L47" s="40"/>
      <c r="M47" s="40"/>
      <c r="N47" s="122"/>
      <c r="O47" s="32" t="str">
        <f t="shared" si="2"/>
        <v/>
      </c>
      <c r="P47" s="42"/>
      <c r="Q47" s="34" t="str">
        <f t="shared" si="1"/>
        <v/>
      </c>
      <c r="S47" s="107"/>
      <c r="T47" s="107"/>
      <c r="U47" s="95"/>
      <c r="V47" s="95"/>
      <c r="W47" s="95"/>
      <c r="X47" s="95"/>
      <c r="Y47" s="95"/>
      <c r="Z47" s="95"/>
      <c r="AA47" s="95"/>
      <c r="AB47" s="95"/>
      <c r="AC47" s="95"/>
      <c r="AD47" s="108"/>
      <c r="AE47" s="127"/>
    </row>
    <row r="48" spans="1:31" ht="12" customHeight="1" x14ac:dyDescent="0.2">
      <c r="A48" s="27">
        <v>33</v>
      </c>
      <c r="B48" s="40"/>
      <c r="C48" s="186"/>
      <c r="D48" s="187"/>
      <c r="E48" s="188"/>
      <c r="F48" s="143"/>
      <c r="G48" s="144"/>
      <c r="H48" s="41"/>
      <c r="I48" s="40"/>
      <c r="J48" s="40"/>
      <c r="K48" s="40"/>
      <c r="L48" s="40"/>
      <c r="M48" s="40"/>
      <c r="N48" s="123"/>
      <c r="O48" s="32" t="str">
        <f t="shared" si="2"/>
        <v/>
      </c>
      <c r="P48" s="42"/>
      <c r="Q48" s="34" t="str">
        <f t="shared" si="1"/>
        <v/>
      </c>
      <c r="S48" s="107"/>
      <c r="T48" s="107"/>
      <c r="U48" s="95"/>
      <c r="V48" s="95"/>
      <c r="W48" s="95"/>
      <c r="X48" s="95"/>
      <c r="Y48" s="95"/>
      <c r="Z48" s="95"/>
      <c r="AA48" s="95"/>
      <c r="AB48" s="95"/>
      <c r="AC48" s="95"/>
      <c r="AD48" s="108"/>
      <c r="AE48" s="127"/>
    </row>
    <row r="49" spans="1:31" ht="12" customHeight="1" x14ac:dyDescent="0.2">
      <c r="A49" s="27">
        <v>34</v>
      </c>
      <c r="B49" s="118"/>
      <c r="C49" s="200"/>
      <c r="D49" s="201"/>
      <c r="E49" s="202"/>
      <c r="F49" s="160"/>
      <c r="G49" s="162"/>
      <c r="H49" s="45"/>
      <c r="I49" s="118"/>
      <c r="J49" s="118"/>
      <c r="K49" s="118"/>
      <c r="L49" s="118"/>
      <c r="M49" s="118"/>
      <c r="N49" s="123"/>
      <c r="O49" s="32" t="str">
        <f t="shared" si="2"/>
        <v/>
      </c>
      <c r="P49" s="42"/>
      <c r="Q49" s="34" t="str">
        <f t="shared" si="1"/>
        <v/>
      </c>
      <c r="S49" s="107"/>
      <c r="T49" s="107"/>
      <c r="U49" s="95"/>
      <c r="V49" s="95"/>
      <c r="W49" s="95"/>
      <c r="X49" s="95"/>
      <c r="Y49" s="95"/>
      <c r="Z49" s="95"/>
      <c r="AA49" s="95"/>
      <c r="AB49" s="95"/>
      <c r="AC49" s="95"/>
      <c r="AE49" s="127"/>
    </row>
    <row r="50" spans="1:31" ht="12" customHeight="1" x14ac:dyDescent="0.2">
      <c r="A50" s="27">
        <v>35</v>
      </c>
      <c r="B50" s="118"/>
      <c r="C50" s="200"/>
      <c r="D50" s="201"/>
      <c r="E50" s="202"/>
      <c r="F50" s="271"/>
      <c r="G50" s="272"/>
      <c r="H50" s="45"/>
      <c r="I50" s="118"/>
      <c r="J50" s="118"/>
      <c r="K50" s="118"/>
      <c r="L50" s="118"/>
      <c r="M50" s="118"/>
      <c r="N50" s="123"/>
      <c r="O50" s="32" t="str">
        <f t="shared" si="2"/>
        <v/>
      </c>
      <c r="P50" s="42"/>
      <c r="Q50" s="34" t="str">
        <f t="shared" si="1"/>
        <v/>
      </c>
      <c r="S50" s="107"/>
      <c r="T50" s="107"/>
      <c r="U50" s="95"/>
      <c r="V50" s="95"/>
      <c r="W50" s="95"/>
      <c r="X50" s="95"/>
      <c r="Y50" s="95"/>
      <c r="Z50" s="95"/>
      <c r="AA50" s="95"/>
      <c r="AB50" s="95"/>
      <c r="AC50" s="95"/>
      <c r="AD50" s="108"/>
      <c r="AE50" s="127"/>
    </row>
    <row r="51" spans="1:31" ht="12" customHeight="1" x14ac:dyDescent="0.2">
      <c r="A51" s="27">
        <v>36</v>
      </c>
      <c r="B51" s="118"/>
      <c r="C51" s="200"/>
      <c r="D51" s="201"/>
      <c r="E51" s="202"/>
      <c r="F51" s="160"/>
      <c r="G51" s="161"/>
      <c r="H51" s="124"/>
      <c r="I51" s="118"/>
      <c r="J51" s="118"/>
      <c r="K51" s="118"/>
      <c r="L51" s="118"/>
      <c r="M51" s="118"/>
      <c r="N51" s="123"/>
      <c r="O51" s="32" t="str">
        <f t="shared" si="2"/>
        <v/>
      </c>
      <c r="P51" s="50"/>
      <c r="Q51" s="34" t="str">
        <f t="shared" si="1"/>
        <v/>
      </c>
      <c r="S51" s="107"/>
      <c r="T51" s="107"/>
      <c r="U51" s="95"/>
      <c r="V51" s="95"/>
      <c r="W51" s="95"/>
      <c r="X51" s="95"/>
      <c r="Y51" s="95"/>
      <c r="Z51" s="95"/>
      <c r="AA51" s="95"/>
      <c r="AB51" s="95"/>
      <c r="AC51" s="95"/>
      <c r="AD51" s="108"/>
      <c r="AE51" s="127"/>
    </row>
    <row r="52" spans="1:31" ht="12" customHeight="1" x14ac:dyDescent="0.2">
      <c r="A52" s="27">
        <v>37</v>
      </c>
      <c r="B52" s="118"/>
      <c r="C52" s="274"/>
      <c r="D52" s="274"/>
      <c r="E52" s="274"/>
      <c r="F52" s="162"/>
      <c r="G52" s="161"/>
      <c r="H52" s="124"/>
      <c r="I52" s="118"/>
      <c r="J52" s="118"/>
      <c r="K52" s="118"/>
      <c r="L52" s="118"/>
      <c r="M52" s="118"/>
      <c r="N52" s="123"/>
      <c r="O52" s="32" t="str">
        <f t="shared" si="2"/>
        <v/>
      </c>
      <c r="P52" s="50"/>
      <c r="Q52" s="34" t="str">
        <f t="shared" si="1"/>
        <v/>
      </c>
      <c r="S52" s="107"/>
      <c r="T52" s="107"/>
      <c r="U52" s="95"/>
      <c r="V52" s="95"/>
      <c r="W52" s="95"/>
      <c r="X52" s="95"/>
      <c r="Y52" s="95"/>
      <c r="Z52" s="95"/>
      <c r="AA52" s="95"/>
      <c r="AB52" s="95"/>
      <c r="AC52" s="95"/>
      <c r="AD52" s="108"/>
      <c r="AE52" s="127"/>
    </row>
    <row r="53" spans="1:31" ht="12" customHeight="1" x14ac:dyDescent="0.2">
      <c r="A53" s="27">
        <v>38</v>
      </c>
      <c r="B53" s="118"/>
      <c r="C53" s="274"/>
      <c r="D53" s="274"/>
      <c r="E53" s="274"/>
      <c r="F53" s="162"/>
      <c r="G53" s="161"/>
      <c r="H53" s="124"/>
      <c r="I53" s="118"/>
      <c r="J53" s="118"/>
      <c r="K53" s="118"/>
      <c r="L53" s="118"/>
      <c r="M53" s="118"/>
      <c r="N53" s="123"/>
      <c r="O53" s="32" t="str">
        <f t="shared" si="2"/>
        <v/>
      </c>
      <c r="P53" s="50"/>
      <c r="Q53" s="34" t="str">
        <f t="shared" si="1"/>
        <v/>
      </c>
      <c r="S53" s="107"/>
      <c r="T53" s="107"/>
      <c r="U53" s="95"/>
      <c r="V53" s="95"/>
      <c r="W53" s="95"/>
      <c r="X53" s="95"/>
      <c r="Y53" s="95"/>
      <c r="Z53" s="95"/>
      <c r="AA53" s="95"/>
      <c r="AB53" s="95"/>
      <c r="AC53" s="95"/>
      <c r="AD53" s="108"/>
      <c r="AE53" s="127"/>
    </row>
    <row r="54" spans="1:31" ht="12" customHeight="1" x14ac:dyDescent="0.2">
      <c r="A54" s="27">
        <v>39</v>
      </c>
      <c r="B54" s="118"/>
      <c r="C54" s="274"/>
      <c r="D54" s="274"/>
      <c r="E54" s="274"/>
      <c r="F54" s="271"/>
      <c r="G54" s="273"/>
      <c r="H54" s="124"/>
      <c r="I54" s="118"/>
      <c r="J54" s="118"/>
      <c r="K54" s="118"/>
      <c r="L54" s="118"/>
      <c r="M54" s="118"/>
      <c r="N54" s="123"/>
      <c r="O54" s="32" t="str">
        <f t="shared" si="2"/>
        <v/>
      </c>
      <c r="P54" s="50"/>
      <c r="Q54" s="34" t="str">
        <f t="shared" si="1"/>
        <v/>
      </c>
      <c r="S54" s="107"/>
      <c r="T54" s="107"/>
      <c r="U54" s="95"/>
      <c r="V54" s="95"/>
      <c r="W54" s="95"/>
      <c r="X54" s="95"/>
      <c r="Y54" s="95"/>
      <c r="Z54" s="95"/>
      <c r="AA54" s="95"/>
      <c r="AB54" s="95"/>
      <c r="AC54" s="95"/>
      <c r="AD54" s="108"/>
      <c r="AE54" s="127"/>
    </row>
    <row r="55" spans="1:31" ht="12" customHeight="1" thickBot="1" x14ac:dyDescent="0.25">
      <c r="A55" s="27">
        <v>40</v>
      </c>
      <c r="B55" s="118"/>
      <c r="C55" s="274"/>
      <c r="D55" s="274"/>
      <c r="E55" s="200"/>
      <c r="F55" s="277"/>
      <c r="G55" s="278"/>
      <c r="H55" s="124"/>
      <c r="I55" s="118"/>
      <c r="J55" s="118"/>
      <c r="K55" s="118"/>
      <c r="L55" s="118"/>
      <c r="M55" s="118"/>
      <c r="N55" s="123"/>
      <c r="O55" s="49" t="str">
        <f t="shared" si="2"/>
        <v/>
      </c>
      <c r="P55" s="50"/>
      <c r="Q55" s="51" t="str">
        <f t="shared" si="1"/>
        <v/>
      </c>
      <c r="S55" s="107"/>
      <c r="T55" s="107"/>
      <c r="U55" s="95"/>
      <c r="V55" s="95"/>
      <c r="W55" s="95"/>
      <c r="X55" s="95"/>
      <c r="Y55" s="95"/>
      <c r="Z55" s="95"/>
      <c r="AA55" s="95"/>
      <c r="AB55" s="95"/>
      <c r="AC55" s="95"/>
      <c r="AD55" s="108"/>
      <c r="AE55" s="127"/>
    </row>
    <row r="56" spans="1:31" ht="15" customHeight="1" thickBot="1" x14ac:dyDescent="0.25">
      <c r="A56" s="52"/>
      <c r="B56" s="128"/>
      <c r="C56" s="279"/>
      <c r="D56" s="279"/>
      <c r="E56" s="279"/>
      <c r="F56" s="280"/>
      <c r="G56" s="280"/>
      <c r="H56" s="128"/>
      <c r="I56" s="128"/>
      <c r="J56" s="128"/>
      <c r="K56" s="128"/>
      <c r="L56" s="282" t="s">
        <v>78</v>
      </c>
      <c r="M56" s="282"/>
      <c r="N56" s="283"/>
      <c r="O56" s="54">
        <f>SUM(O16:O35,O36:O55)</f>
        <v>0</v>
      </c>
      <c r="P56" s="55"/>
      <c r="Q56" s="56">
        <f>SUM(Q16:Q35,Q36:Q55)</f>
        <v>0</v>
      </c>
      <c r="S56" s="107"/>
      <c r="T56" s="107"/>
      <c r="U56" s="95"/>
      <c r="V56" s="95"/>
      <c r="W56" s="95"/>
      <c r="X56" s="95"/>
      <c r="Y56" s="95"/>
      <c r="Z56" s="95"/>
      <c r="AA56" s="95"/>
      <c r="AB56" s="95"/>
      <c r="AC56" s="95"/>
      <c r="AD56" s="108"/>
      <c r="AE56" s="127"/>
    </row>
    <row r="57" spans="1:31" ht="13.5" customHeight="1" x14ac:dyDescent="0.2">
      <c r="A57" s="253" t="s">
        <v>79</v>
      </c>
      <c r="B57" s="254"/>
      <c r="C57" s="254"/>
      <c r="D57" s="254"/>
      <c r="E57" s="254"/>
      <c r="F57" s="254"/>
      <c r="G57" s="254"/>
      <c r="H57" s="254"/>
      <c r="I57" s="254"/>
      <c r="J57" s="255"/>
      <c r="K57" s="57"/>
      <c r="L57" s="58"/>
      <c r="M57" s="59"/>
      <c r="N57" s="60"/>
      <c r="O57" s="61"/>
      <c r="P57" s="62"/>
      <c r="Q57" s="63"/>
      <c r="S57" s="107"/>
      <c r="T57" s="107"/>
      <c r="U57" s="95"/>
      <c r="V57" s="95"/>
      <c r="W57" s="95"/>
      <c r="X57" s="95"/>
      <c r="Y57" s="95"/>
      <c r="Z57" s="95"/>
      <c r="AA57" s="95"/>
      <c r="AB57" s="95"/>
      <c r="AC57" s="95"/>
      <c r="AD57" s="108"/>
      <c r="AE57" s="127"/>
    </row>
    <row r="58" spans="1:31" ht="13.5" customHeight="1" thickBot="1" x14ac:dyDescent="0.25">
      <c r="A58" s="256"/>
      <c r="B58" s="257"/>
      <c r="C58" s="257"/>
      <c r="D58" s="257"/>
      <c r="E58" s="257"/>
      <c r="F58" s="257"/>
      <c r="G58" s="257"/>
      <c r="H58" s="257"/>
      <c r="I58" s="257"/>
      <c r="J58" s="258"/>
      <c r="K58" s="57"/>
      <c r="L58" s="64"/>
      <c r="M58" s="64"/>
      <c r="N58" s="65"/>
      <c r="O58" s="281"/>
      <c r="P58" s="281"/>
      <c r="Q58" s="66"/>
      <c r="S58" s="107"/>
      <c r="T58" s="107"/>
      <c r="U58" s="95"/>
      <c r="V58" s="95"/>
      <c r="W58" s="95"/>
      <c r="X58" s="95"/>
      <c r="Y58" s="95"/>
      <c r="Z58" s="95"/>
      <c r="AA58" s="95"/>
      <c r="AB58" s="95"/>
      <c r="AC58" s="95"/>
      <c r="AE58" s="127"/>
    </row>
    <row r="59" spans="1:31" ht="13.5" customHeight="1" x14ac:dyDescent="0.2">
      <c r="A59" s="256"/>
      <c r="B59" s="257"/>
      <c r="C59" s="257"/>
      <c r="D59" s="257"/>
      <c r="E59" s="257"/>
      <c r="F59" s="257"/>
      <c r="G59" s="257"/>
      <c r="H59" s="257"/>
      <c r="I59" s="257"/>
      <c r="J59" s="258"/>
      <c r="K59" s="57"/>
      <c r="L59" s="64"/>
      <c r="M59" s="64"/>
      <c r="N59" s="65"/>
      <c r="O59" s="148" t="s">
        <v>80</v>
      </c>
      <c r="P59" s="149"/>
      <c r="Q59" s="150"/>
      <c r="S59" s="107"/>
      <c r="T59" s="107"/>
      <c r="U59" s="95"/>
      <c r="V59" s="95"/>
      <c r="W59" s="95"/>
      <c r="X59" s="95"/>
      <c r="Y59" s="95"/>
      <c r="Z59" s="95"/>
      <c r="AA59" s="95"/>
      <c r="AB59" s="95"/>
      <c r="AC59" s="95"/>
      <c r="AD59" s="108"/>
      <c r="AE59" s="127"/>
    </row>
    <row r="60" spans="1:31" ht="13.5" customHeight="1" thickBot="1" x14ac:dyDescent="0.25">
      <c r="A60" s="259"/>
      <c r="B60" s="260"/>
      <c r="C60" s="260"/>
      <c r="D60" s="260"/>
      <c r="E60" s="260"/>
      <c r="F60" s="260"/>
      <c r="G60" s="260"/>
      <c r="H60" s="260"/>
      <c r="I60" s="260"/>
      <c r="J60" s="261"/>
      <c r="K60" s="57"/>
      <c r="L60" s="64"/>
      <c r="M60" s="64"/>
      <c r="N60" s="64"/>
      <c r="O60" s="151"/>
      <c r="P60" s="152"/>
      <c r="Q60" s="153"/>
      <c r="S60" s="107"/>
      <c r="T60" s="107"/>
      <c r="U60" s="95"/>
      <c r="V60" s="95"/>
      <c r="W60" s="95"/>
      <c r="X60" s="95"/>
      <c r="Y60" s="95"/>
      <c r="Z60" s="95"/>
      <c r="AA60" s="95"/>
      <c r="AB60" s="95"/>
      <c r="AC60" s="95"/>
      <c r="AD60" s="108"/>
      <c r="AE60" s="127"/>
    </row>
    <row r="61" spans="1:31" ht="12" customHeight="1" x14ac:dyDescent="0.2">
      <c r="A61" s="262" t="s">
        <v>0</v>
      </c>
      <c r="B61" s="263"/>
      <c r="C61" s="263"/>
      <c r="D61" s="263"/>
      <c r="E61" s="263"/>
      <c r="F61" s="263"/>
      <c r="G61" s="263"/>
      <c r="H61" s="263"/>
      <c r="I61" s="263"/>
      <c r="J61" s="264"/>
      <c r="K61" s="67"/>
      <c r="L61" s="68"/>
      <c r="M61" s="68"/>
      <c r="N61" s="68"/>
      <c r="O61" s="151"/>
      <c r="P61" s="152"/>
      <c r="Q61" s="153"/>
      <c r="S61" s="107"/>
      <c r="T61" s="107"/>
      <c r="U61" s="95"/>
      <c r="V61" s="95"/>
      <c r="W61" s="95"/>
      <c r="X61" s="95"/>
      <c r="Y61" s="95"/>
      <c r="Z61" s="95"/>
      <c r="AA61" s="95"/>
      <c r="AB61" s="95"/>
      <c r="AC61" s="95"/>
      <c r="AE61" s="127"/>
    </row>
    <row r="62" spans="1:31" ht="12" customHeight="1" x14ac:dyDescent="0.2">
      <c r="A62" s="265"/>
      <c r="B62" s="266"/>
      <c r="C62" s="266"/>
      <c r="D62" s="266"/>
      <c r="E62" s="266"/>
      <c r="F62" s="266"/>
      <c r="G62" s="266"/>
      <c r="H62" s="266"/>
      <c r="I62" s="266"/>
      <c r="J62" s="267"/>
      <c r="K62" s="67"/>
      <c r="L62" s="69"/>
      <c r="M62" s="69"/>
      <c r="N62" s="69"/>
      <c r="O62" s="151"/>
      <c r="P62" s="152"/>
      <c r="Q62" s="153"/>
      <c r="S62" s="107"/>
      <c r="T62" s="107"/>
      <c r="U62" s="95"/>
      <c r="V62" s="95"/>
      <c r="W62" s="95"/>
      <c r="X62" s="95"/>
      <c r="Y62" s="95"/>
      <c r="Z62" s="95"/>
      <c r="AA62" s="95"/>
      <c r="AB62" s="95"/>
      <c r="AC62" s="95"/>
      <c r="AD62" s="108"/>
      <c r="AE62" s="127"/>
    </row>
    <row r="63" spans="1:31" ht="12" customHeight="1" x14ac:dyDescent="0.2">
      <c r="A63" s="265"/>
      <c r="B63" s="266"/>
      <c r="C63" s="266"/>
      <c r="D63" s="266"/>
      <c r="E63" s="266"/>
      <c r="F63" s="266"/>
      <c r="G63" s="266"/>
      <c r="H63" s="266"/>
      <c r="I63" s="266"/>
      <c r="J63" s="267"/>
      <c r="K63" s="67"/>
      <c r="L63" s="69"/>
      <c r="M63" s="69"/>
      <c r="N63" s="69"/>
      <c r="O63" s="151"/>
      <c r="P63" s="152"/>
      <c r="Q63" s="153"/>
      <c r="S63" s="107"/>
      <c r="T63" s="107"/>
      <c r="U63" s="95"/>
      <c r="V63" s="95"/>
      <c r="W63" s="95"/>
      <c r="X63" s="95"/>
      <c r="Y63" s="95"/>
      <c r="Z63" s="95"/>
      <c r="AA63" s="95"/>
      <c r="AB63" s="95"/>
      <c r="AC63" s="95"/>
      <c r="AD63" s="108"/>
      <c r="AE63" s="127"/>
    </row>
    <row r="64" spans="1:31" ht="12" customHeight="1" thickBot="1" x14ac:dyDescent="0.25">
      <c r="A64" s="268"/>
      <c r="B64" s="269"/>
      <c r="C64" s="269"/>
      <c r="D64" s="269"/>
      <c r="E64" s="269"/>
      <c r="F64" s="269"/>
      <c r="G64" s="269"/>
      <c r="H64" s="269"/>
      <c r="I64" s="269"/>
      <c r="J64" s="270"/>
      <c r="K64" s="70"/>
      <c r="L64" s="71"/>
      <c r="M64" s="71"/>
      <c r="N64" s="71"/>
      <c r="O64" s="154"/>
      <c r="P64" s="155"/>
      <c r="Q64" s="156"/>
      <c r="S64" s="107"/>
      <c r="T64" s="107"/>
      <c r="U64" s="95"/>
      <c r="V64" s="95"/>
      <c r="W64" s="95"/>
      <c r="X64" s="95"/>
      <c r="Y64" s="95"/>
      <c r="Z64" s="95"/>
      <c r="AA64" s="95"/>
      <c r="AB64" s="95"/>
      <c r="AC64" s="95"/>
      <c r="AD64" s="108"/>
      <c r="AE64" s="127"/>
    </row>
    <row r="65" spans="1:31" ht="12" customHeight="1" x14ac:dyDescent="0.2">
      <c r="A65" s="72"/>
      <c r="B65" s="72"/>
      <c r="C65" s="72"/>
      <c r="D65" s="72"/>
      <c r="E65" s="72"/>
      <c r="F65" s="72"/>
      <c r="G65" s="72"/>
      <c r="H65" s="72"/>
      <c r="I65" s="69"/>
      <c r="J65" s="69"/>
      <c r="K65" s="69"/>
      <c r="L65" s="69"/>
      <c r="M65" s="69"/>
      <c r="N65" s="69"/>
      <c r="O65" s="73"/>
      <c r="P65" s="73"/>
      <c r="Q65" s="73"/>
      <c r="S65" s="107"/>
      <c r="T65" s="107"/>
      <c r="U65" s="95"/>
      <c r="V65" s="95"/>
      <c r="W65" s="95"/>
      <c r="X65" s="95"/>
      <c r="Y65" s="95"/>
      <c r="Z65" s="95"/>
      <c r="AA65" s="95"/>
      <c r="AB65" s="95"/>
      <c r="AC65" s="95"/>
      <c r="AD65" s="108"/>
      <c r="AE65" s="127"/>
    </row>
    <row r="66" spans="1:31" ht="12" customHeight="1" x14ac:dyDescent="0.2">
      <c r="A66" s="74"/>
      <c r="B66" s="74"/>
      <c r="C66" s="74"/>
      <c r="D66" s="74"/>
      <c r="E66" s="74"/>
      <c r="F66" s="74"/>
      <c r="G66" s="74"/>
      <c r="H66" s="74"/>
      <c r="I66" s="74"/>
      <c r="J66" s="74"/>
      <c r="K66" s="74"/>
      <c r="L66" s="74"/>
      <c r="M66" s="74"/>
      <c r="N66" s="74"/>
      <c r="O66" s="73"/>
      <c r="P66" s="73"/>
      <c r="Q66" s="73"/>
      <c r="U66" s="95"/>
      <c r="V66" s="95"/>
      <c r="W66" s="95"/>
      <c r="X66" s="95"/>
      <c r="Y66" s="95"/>
      <c r="Z66" s="95"/>
      <c r="AA66" s="95"/>
      <c r="AB66" s="95"/>
      <c r="AC66" s="95"/>
      <c r="AE66" s="127"/>
    </row>
    <row r="67" spans="1:31" ht="12" customHeight="1" x14ac:dyDescent="0.2">
      <c r="A67" s="74"/>
      <c r="B67" s="74"/>
      <c r="C67" s="74"/>
      <c r="D67" s="74"/>
      <c r="E67" s="74"/>
      <c r="F67" s="74"/>
      <c r="G67" s="74"/>
      <c r="H67" s="74"/>
      <c r="I67" s="74"/>
      <c r="J67" s="74"/>
      <c r="K67" s="74"/>
      <c r="L67" s="74"/>
      <c r="M67" s="74"/>
      <c r="N67" s="74"/>
      <c r="O67" s="74"/>
      <c r="P67" s="74"/>
      <c r="Q67" s="74"/>
      <c r="S67" s="107"/>
      <c r="T67" s="107"/>
      <c r="U67" s="95"/>
      <c r="V67" s="95"/>
      <c r="W67" s="95"/>
      <c r="X67" s="95"/>
      <c r="Y67" s="95"/>
      <c r="Z67" s="95"/>
      <c r="AA67" s="95"/>
      <c r="AB67" s="95"/>
      <c r="AC67" s="95"/>
      <c r="AD67" s="108"/>
      <c r="AE67" s="127"/>
    </row>
    <row r="68" spans="1:31" ht="12" customHeight="1" x14ac:dyDescent="0.2">
      <c r="A68" s="74"/>
      <c r="B68" s="74"/>
      <c r="C68" s="74"/>
      <c r="D68" s="74"/>
      <c r="E68" s="74"/>
      <c r="F68" s="74"/>
      <c r="G68" s="74"/>
      <c r="H68" s="74"/>
      <c r="I68" s="74"/>
      <c r="J68" s="74"/>
      <c r="K68" s="74"/>
      <c r="L68" s="74"/>
      <c r="M68" s="74"/>
      <c r="N68" s="74"/>
      <c r="O68" s="74"/>
      <c r="P68" s="74"/>
      <c r="Q68" s="74"/>
      <c r="S68" s="107"/>
      <c r="T68" s="107"/>
      <c r="U68" s="95"/>
      <c r="V68" s="95"/>
      <c r="W68" s="95"/>
      <c r="X68" s="95"/>
      <c r="Y68" s="95"/>
      <c r="Z68" s="95"/>
      <c r="AA68" s="95"/>
      <c r="AB68" s="95"/>
      <c r="AC68" s="95"/>
      <c r="AD68" s="108"/>
      <c r="AE68" s="127"/>
    </row>
    <row r="69" spans="1:31" ht="12" customHeight="1" x14ac:dyDescent="0.2">
      <c r="A69" s="74"/>
      <c r="B69" s="74"/>
      <c r="C69" s="74"/>
      <c r="D69" s="74"/>
      <c r="E69" s="74"/>
      <c r="F69" s="74"/>
      <c r="G69" s="74"/>
      <c r="H69" s="74"/>
      <c r="I69" s="74"/>
      <c r="J69" s="74"/>
      <c r="K69" s="74"/>
      <c r="L69" s="74"/>
      <c r="M69" s="74"/>
      <c r="N69" s="74"/>
      <c r="O69" s="74"/>
      <c r="P69" s="74"/>
      <c r="Q69" s="74"/>
      <c r="S69" s="107"/>
      <c r="T69" s="107"/>
      <c r="U69" s="95"/>
      <c r="V69" s="95"/>
      <c r="W69" s="95"/>
      <c r="X69" s="95"/>
      <c r="Y69" s="95"/>
      <c r="Z69" s="95"/>
      <c r="AA69" s="95"/>
      <c r="AB69" s="95"/>
      <c r="AC69" s="95"/>
      <c r="AD69" s="108"/>
      <c r="AE69" s="127"/>
    </row>
    <row r="70" spans="1:31" ht="12" customHeight="1" x14ac:dyDescent="0.2">
      <c r="S70" s="107"/>
      <c r="T70" s="107"/>
      <c r="U70" s="95"/>
      <c r="V70" s="95"/>
      <c r="W70" s="95"/>
      <c r="X70" s="95"/>
      <c r="Y70" s="95"/>
      <c r="Z70" s="95"/>
      <c r="AA70" s="95"/>
      <c r="AB70" s="95"/>
      <c r="AC70" s="95"/>
      <c r="AD70" s="108"/>
      <c r="AE70" s="127"/>
    </row>
    <row r="71" spans="1:31" ht="12" customHeight="1" x14ac:dyDescent="0.2">
      <c r="S71" s="107"/>
      <c r="T71" s="107"/>
      <c r="U71" s="95"/>
      <c r="V71" s="95"/>
      <c r="W71" s="95"/>
      <c r="X71" s="95"/>
      <c r="Y71" s="95"/>
      <c r="Z71" s="95"/>
      <c r="AA71" s="95"/>
      <c r="AB71" s="95"/>
      <c r="AC71" s="95"/>
      <c r="AE71" s="127"/>
    </row>
    <row r="72" spans="1:31" ht="12" customHeight="1" x14ac:dyDescent="0.2">
      <c r="S72" s="107"/>
      <c r="T72" s="107"/>
      <c r="U72" s="95"/>
      <c r="V72" s="95"/>
      <c r="W72" s="95"/>
      <c r="X72" s="95"/>
      <c r="Y72" s="95"/>
      <c r="Z72" s="95"/>
      <c r="AA72" s="95"/>
      <c r="AB72" s="95"/>
      <c r="AC72" s="95"/>
      <c r="AD72" s="108"/>
      <c r="AE72" s="127"/>
    </row>
    <row r="73" spans="1:31" ht="12" customHeight="1" x14ac:dyDescent="0.2">
      <c r="S73" s="107"/>
      <c r="T73" s="107"/>
      <c r="U73" s="95"/>
      <c r="V73" s="95"/>
      <c r="W73" s="95"/>
      <c r="X73" s="95"/>
      <c r="Y73" s="95"/>
      <c r="Z73" s="95"/>
      <c r="AA73" s="95"/>
      <c r="AB73" s="95"/>
      <c r="AC73" s="95"/>
      <c r="AD73" s="108"/>
      <c r="AE73" s="127"/>
    </row>
    <row r="74" spans="1:31" ht="12" customHeight="1" x14ac:dyDescent="0.2">
      <c r="S74" s="107"/>
      <c r="T74" s="107"/>
      <c r="U74" s="95"/>
      <c r="V74" s="95"/>
      <c r="W74" s="95"/>
      <c r="X74" s="95"/>
      <c r="Y74" s="95"/>
      <c r="Z74" s="95"/>
      <c r="AA74" s="95"/>
      <c r="AB74" s="95"/>
      <c r="AC74" s="95"/>
      <c r="AD74" s="108"/>
      <c r="AE74" s="127"/>
    </row>
    <row r="75" spans="1:31" ht="12" customHeight="1" x14ac:dyDescent="0.2">
      <c r="S75" s="107"/>
      <c r="T75" s="107"/>
      <c r="U75" s="95"/>
      <c r="V75" s="95"/>
      <c r="W75" s="95"/>
      <c r="X75" s="95"/>
      <c r="Y75" s="95"/>
      <c r="Z75" s="95"/>
      <c r="AA75" s="95"/>
      <c r="AB75" s="95"/>
      <c r="AC75" s="95"/>
      <c r="AD75" s="108"/>
      <c r="AE75" s="127"/>
    </row>
    <row r="76" spans="1:31" ht="12" customHeight="1" x14ac:dyDescent="0.2">
      <c r="S76" s="107"/>
      <c r="T76" s="107"/>
      <c r="U76" s="95"/>
      <c r="V76" s="95"/>
      <c r="W76" s="95"/>
      <c r="X76" s="95"/>
      <c r="Y76" s="95"/>
      <c r="Z76" s="95"/>
      <c r="AA76" s="95"/>
      <c r="AB76" s="95"/>
      <c r="AC76" s="95"/>
      <c r="AE76" s="127"/>
    </row>
    <row r="77" spans="1:31" ht="12" customHeight="1" x14ac:dyDescent="0.2">
      <c r="S77" s="107"/>
      <c r="T77" s="107"/>
      <c r="U77" s="95"/>
      <c r="V77" s="95"/>
      <c r="W77" s="95"/>
      <c r="X77" s="95"/>
      <c r="Y77" s="95"/>
      <c r="Z77" s="95"/>
      <c r="AA77" s="95"/>
      <c r="AB77" s="95"/>
      <c r="AC77" s="95"/>
      <c r="AE77" s="127"/>
    </row>
    <row r="78" spans="1:31" ht="12" customHeight="1" x14ac:dyDescent="0.2">
      <c r="S78" s="107"/>
      <c r="T78" s="107"/>
      <c r="U78" s="95"/>
      <c r="V78" s="95"/>
      <c r="W78" s="95"/>
      <c r="X78" s="95"/>
      <c r="Y78" s="95"/>
      <c r="Z78" s="95"/>
      <c r="AA78" s="95"/>
      <c r="AB78" s="95"/>
      <c r="AC78" s="95"/>
      <c r="AE78" s="127"/>
    </row>
    <row r="79" spans="1:31" ht="12" customHeight="1" x14ac:dyDescent="0.2">
      <c r="S79" s="107"/>
      <c r="T79" s="107"/>
      <c r="U79" s="95"/>
      <c r="V79" s="95"/>
      <c r="W79" s="95"/>
      <c r="X79" s="95"/>
      <c r="Y79" s="95"/>
      <c r="Z79" s="95"/>
      <c r="AA79" s="95"/>
      <c r="AB79" s="95"/>
      <c r="AC79" s="95"/>
      <c r="AE79" s="127"/>
    </row>
    <row r="80" spans="1:31" ht="12" customHeight="1" x14ac:dyDescent="0.2">
      <c r="S80" s="107"/>
      <c r="T80" s="107"/>
      <c r="U80" s="95"/>
      <c r="V80" s="95"/>
      <c r="W80" s="95"/>
      <c r="X80" s="95"/>
      <c r="Y80" s="95"/>
      <c r="Z80" s="95"/>
      <c r="AA80" s="95"/>
      <c r="AB80" s="95"/>
      <c r="AC80" s="95"/>
      <c r="AE80" s="127"/>
    </row>
    <row r="81" spans="19:31" ht="12" customHeight="1" x14ac:dyDescent="0.2">
      <c r="S81" s="107"/>
      <c r="T81" s="107"/>
      <c r="U81" s="95"/>
      <c r="V81" s="95"/>
      <c r="W81" s="95"/>
      <c r="X81" s="95"/>
      <c r="Y81" s="95"/>
      <c r="Z81" s="95"/>
      <c r="AA81" s="95"/>
      <c r="AB81" s="95"/>
      <c r="AC81" s="95"/>
      <c r="AE81" s="127"/>
    </row>
    <row r="82" spans="19:31" ht="12" customHeight="1" x14ac:dyDescent="0.2">
      <c r="S82" s="107"/>
      <c r="T82" s="107"/>
      <c r="U82" s="95"/>
      <c r="V82" s="95"/>
      <c r="W82" s="95"/>
      <c r="X82" s="95"/>
      <c r="Y82" s="95"/>
      <c r="Z82" s="95"/>
      <c r="AA82" s="95"/>
      <c r="AB82" s="95"/>
      <c r="AC82" s="95"/>
      <c r="AE82" s="127"/>
    </row>
    <row r="83" spans="19:31" ht="12" customHeight="1" x14ac:dyDescent="0.2">
      <c r="S83" s="107"/>
      <c r="T83" s="107"/>
      <c r="U83" s="95"/>
      <c r="V83" s="95"/>
      <c r="W83" s="95"/>
      <c r="X83" s="95"/>
      <c r="Y83" s="95"/>
      <c r="Z83" s="95"/>
      <c r="AA83" s="95"/>
      <c r="AB83" s="95"/>
      <c r="AC83" s="95"/>
      <c r="AE83" s="127"/>
    </row>
    <row r="84" spans="19:31" ht="12" customHeight="1" x14ac:dyDescent="0.2">
      <c r="S84" s="107"/>
      <c r="T84" s="107"/>
      <c r="U84" s="95"/>
      <c r="V84" s="95"/>
      <c r="W84" s="95"/>
      <c r="X84" s="95"/>
      <c r="Y84" s="95"/>
      <c r="Z84" s="95"/>
      <c r="AA84" s="95"/>
      <c r="AB84" s="95"/>
      <c r="AC84" s="95"/>
      <c r="AE84" s="127"/>
    </row>
    <row r="85" spans="19:31" ht="12" customHeight="1" x14ac:dyDescent="0.2">
      <c r="S85" s="107"/>
      <c r="T85" s="107"/>
      <c r="U85" s="95"/>
      <c r="V85" s="95"/>
      <c r="W85" s="95"/>
      <c r="X85" s="95"/>
      <c r="Y85" s="95"/>
      <c r="Z85" s="95"/>
      <c r="AA85" s="95"/>
      <c r="AB85" s="95"/>
      <c r="AC85" s="95"/>
      <c r="AE85" s="127"/>
    </row>
    <row r="86" spans="19:31" ht="12" customHeight="1" x14ac:dyDescent="0.2">
      <c r="S86" s="107"/>
      <c r="T86" s="107"/>
      <c r="U86" s="95"/>
      <c r="V86" s="95"/>
      <c r="W86" s="95"/>
      <c r="X86" s="95"/>
      <c r="Y86" s="95"/>
      <c r="Z86" s="95"/>
      <c r="AA86" s="95"/>
      <c r="AB86" s="95"/>
      <c r="AC86" s="95"/>
      <c r="AE86" s="127"/>
    </row>
    <row r="87" spans="19:31" ht="12" customHeight="1" x14ac:dyDescent="0.2">
      <c r="S87" s="107"/>
      <c r="T87" s="107"/>
      <c r="U87" s="95"/>
      <c r="V87" s="95"/>
      <c r="W87" s="95"/>
      <c r="X87" s="95"/>
      <c r="Y87" s="95"/>
      <c r="Z87" s="95"/>
      <c r="AA87" s="95"/>
      <c r="AB87" s="95"/>
      <c r="AC87" s="95"/>
      <c r="AE87" s="127"/>
    </row>
    <row r="88" spans="19:31" ht="12" customHeight="1" x14ac:dyDescent="0.2">
      <c r="S88" s="107"/>
      <c r="T88" s="107"/>
      <c r="U88" s="95"/>
      <c r="V88" s="95"/>
      <c r="W88" s="95"/>
      <c r="X88" s="95"/>
      <c r="Y88" s="95"/>
      <c r="Z88" s="95"/>
      <c r="AA88" s="95"/>
      <c r="AB88" s="95"/>
      <c r="AC88" s="95"/>
      <c r="AE88" s="127"/>
    </row>
    <row r="89" spans="19:31" ht="12" customHeight="1" x14ac:dyDescent="0.2">
      <c r="S89" s="107"/>
      <c r="T89" s="107"/>
      <c r="U89" s="95"/>
      <c r="V89" s="95"/>
      <c r="W89" s="95"/>
      <c r="X89" s="95"/>
      <c r="Y89" s="95"/>
      <c r="Z89" s="95"/>
      <c r="AA89" s="95"/>
      <c r="AB89" s="95"/>
      <c r="AC89" s="95"/>
      <c r="AE89" s="127"/>
    </row>
    <row r="90" spans="19:31" ht="12" customHeight="1" x14ac:dyDescent="0.2">
      <c r="S90" s="107"/>
      <c r="T90" s="107"/>
      <c r="U90" s="95"/>
      <c r="V90" s="95"/>
      <c r="W90" s="95"/>
      <c r="X90" s="95"/>
      <c r="Y90" s="95"/>
      <c r="Z90" s="95"/>
      <c r="AA90" s="95"/>
      <c r="AB90" s="95"/>
      <c r="AC90" s="95"/>
      <c r="AE90" s="127"/>
    </row>
    <row r="91" spans="19:31" ht="12" customHeight="1" x14ac:dyDescent="0.2">
      <c r="S91" s="107"/>
      <c r="T91" s="107"/>
      <c r="U91" s="95"/>
      <c r="V91" s="95"/>
      <c r="W91" s="95"/>
      <c r="X91" s="95"/>
      <c r="Y91" s="95"/>
      <c r="Z91" s="95"/>
      <c r="AA91" s="95"/>
      <c r="AB91" s="95"/>
      <c r="AC91" s="95"/>
      <c r="AE91" s="127"/>
    </row>
    <row r="92" spans="19:31" ht="12" customHeight="1" x14ac:dyDescent="0.2">
      <c r="S92" s="107"/>
      <c r="T92" s="107"/>
      <c r="U92" s="95"/>
      <c r="V92" s="95"/>
      <c r="W92" s="95"/>
      <c r="X92" s="95"/>
      <c r="Y92" s="95"/>
      <c r="Z92" s="95"/>
      <c r="AA92" s="95"/>
      <c r="AB92" s="95"/>
      <c r="AC92" s="95"/>
      <c r="AE92" s="127"/>
    </row>
    <row r="93" spans="19:31" ht="12" customHeight="1" x14ac:dyDescent="0.2">
      <c r="S93" s="107"/>
      <c r="T93" s="107"/>
      <c r="U93" s="95"/>
      <c r="V93" s="95"/>
      <c r="W93" s="95"/>
      <c r="X93" s="95"/>
      <c r="Y93" s="95"/>
      <c r="Z93" s="95"/>
      <c r="AA93" s="95"/>
      <c r="AB93" s="95"/>
      <c r="AC93" s="95"/>
      <c r="AE93" s="127"/>
    </row>
    <row r="94" spans="19:31" ht="12" customHeight="1" x14ac:dyDescent="0.2">
      <c r="S94" s="107"/>
      <c r="T94" s="107"/>
      <c r="U94" s="95"/>
      <c r="V94" s="95"/>
      <c r="W94" s="95"/>
      <c r="X94" s="95"/>
      <c r="Y94" s="95"/>
      <c r="Z94" s="95"/>
      <c r="AA94" s="95"/>
      <c r="AB94" s="95"/>
      <c r="AC94" s="95"/>
      <c r="AE94" s="127"/>
    </row>
    <row r="95" spans="19:31" ht="12" customHeight="1" x14ac:dyDescent="0.2">
      <c r="S95" s="107"/>
      <c r="T95" s="107"/>
      <c r="U95" s="95"/>
      <c r="V95" s="95"/>
      <c r="W95" s="95"/>
      <c r="X95" s="95"/>
      <c r="Y95" s="95"/>
      <c r="Z95" s="95"/>
      <c r="AA95" s="95"/>
      <c r="AB95" s="95"/>
      <c r="AC95" s="95"/>
      <c r="AE95" s="127"/>
    </row>
    <row r="96" spans="19:31" ht="12" customHeight="1" x14ac:dyDescent="0.2">
      <c r="S96" s="107"/>
      <c r="T96" s="107"/>
      <c r="U96" s="95"/>
      <c r="V96" s="95"/>
      <c r="W96" s="95"/>
      <c r="X96" s="95"/>
      <c r="Y96" s="95"/>
      <c r="Z96" s="95"/>
      <c r="AA96" s="95"/>
      <c r="AB96" s="95"/>
      <c r="AC96" s="95"/>
      <c r="AE96" s="127"/>
    </row>
    <row r="97" spans="19:31" ht="12" customHeight="1" x14ac:dyDescent="0.2">
      <c r="S97" s="107"/>
      <c r="T97" s="107"/>
      <c r="U97" s="95"/>
      <c r="V97" s="95"/>
      <c r="W97" s="95"/>
      <c r="X97" s="95"/>
      <c r="Y97" s="95"/>
      <c r="Z97" s="95"/>
      <c r="AA97" s="95"/>
      <c r="AB97" s="95"/>
      <c r="AC97" s="95"/>
      <c r="AE97" s="127"/>
    </row>
    <row r="98" spans="19:31" ht="12" customHeight="1" x14ac:dyDescent="0.2">
      <c r="S98" s="107"/>
      <c r="T98" s="107"/>
      <c r="U98" s="95"/>
      <c r="V98" s="95"/>
      <c r="W98" s="95"/>
      <c r="X98" s="95"/>
      <c r="Y98" s="95"/>
      <c r="Z98" s="95"/>
      <c r="AA98" s="95"/>
      <c r="AB98" s="95"/>
      <c r="AC98" s="95"/>
      <c r="AE98" s="127"/>
    </row>
    <row r="99" spans="19:31" ht="12" customHeight="1" x14ac:dyDescent="0.2">
      <c r="S99" s="107"/>
      <c r="T99" s="107"/>
      <c r="U99" s="95"/>
      <c r="V99" s="95"/>
      <c r="W99" s="95"/>
      <c r="X99" s="95"/>
      <c r="Y99" s="95"/>
      <c r="Z99" s="95"/>
      <c r="AA99" s="95"/>
      <c r="AB99" s="95"/>
      <c r="AC99" s="95"/>
      <c r="AE99" s="127"/>
    </row>
    <row r="100" spans="19:31" ht="12" customHeight="1" x14ac:dyDescent="0.2">
      <c r="S100" s="107"/>
      <c r="T100" s="107"/>
      <c r="U100" s="95"/>
      <c r="V100" s="95"/>
      <c r="W100" s="95"/>
      <c r="X100" s="95"/>
      <c r="Y100" s="95"/>
      <c r="Z100" s="95"/>
      <c r="AA100" s="95"/>
      <c r="AB100" s="95"/>
      <c r="AC100" s="95"/>
      <c r="AE100" s="127"/>
    </row>
    <row r="101" spans="19:31" ht="12" customHeight="1" x14ac:dyDescent="0.2">
      <c r="S101" s="107"/>
      <c r="T101" s="107"/>
      <c r="U101" s="95"/>
      <c r="V101" s="95"/>
      <c r="W101" s="95"/>
      <c r="X101" s="95"/>
      <c r="Y101" s="95"/>
      <c r="Z101" s="95"/>
      <c r="AA101" s="95"/>
      <c r="AB101" s="95"/>
      <c r="AC101" s="95"/>
      <c r="AE101" s="127"/>
    </row>
    <row r="102" spans="19:31" ht="12" customHeight="1" x14ac:dyDescent="0.2">
      <c r="S102" s="107"/>
      <c r="T102" s="107"/>
      <c r="U102" s="95"/>
      <c r="V102" s="95"/>
      <c r="W102" s="95"/>
      <c r="X102" s="95"/>
      <c r="Y102" s="95"/>
      <c r="Z102" s="95"/>
      <c r="AA102" s="95"/>
      <c r="AB102" s="95"/>
      <c r="AC102" s="95"/>
      <c r="AE102" s="127"/>
    </row>
    <row r="103" spans="19:31" ht="12" customHeight="1" x14ac:dyDescent="0.2">
      <c r="S103" s="107"/>
      <c r="T103" s="107"/>
      <c r="U103" s="95"/>
      <c r="V103" s="95"/>
      <c r="W103" s="95"/>
      <c r="X103" s="95"/>
      <c r="Y103" s="95"/>
      <c r="Z103" s="95"/>
      <c r="AA103" s="95"/>
      <c r="AB103" s="95"/>
      <c r="AC103" s="95"/>
      <c r="AE103" s="127"/>
    </row>
    <row r="104" spans="19:31" ht="12" customHeight="1" x14ac:dyDescent="0.2">
      <c r="S104" s="107"/>
      <c r="T104" s="107"/>
      <c r="U104" s="95"/>
      <c r="V104" s="95"/>
      <c r="W104" s="95"/>
      <c r="X104" s="95"/>
      <c r="Y104" s="95"/>
      <c r="Z104" s="95"/>
      <c r="AA104" s="95"/>
      <c r="AB104" s="95"/>
      <c r="AC104" s="95"/>
      <c r="AE104" s="127"/>
    </row>
    <row r="105" spans="19:31" ht="12" customHeight="1" x14ac:dyDescent="0.2">
      <c r="S105" s="107"/>
      <c r="T105" s="107"/>
      <c r="U105" s="95"/>
      <c r="V105" s="95"/>
      <c r="W105" s="95"/>
      <c r="X105" s="95"/>
      <c r="Y105" s="95"/>
      <c r="Z105" s="95"/>
      <c r="AA105" s="95"/>
      <c r="AB105" s="95"/>
      <c r="AC105" s="95"/>
      <c r="AE105" s="127"/>
    </row>
    <row r="106" spans="19:31" ht="12" customHeight="1" x14ac:dyDescent="0.2">
      <c r="S106" s="107"/>
      <c r="T106" s="107"/>
      <c r="U106" s="95"/>
      <c r="V106" s="95"/>
      <c r="W106" s="95"/>
      <c r="X106" s="95"/>
      <c r="Y106" s="95"/>
      <c r="Z106" s="95"/>
      <c r="AA106" s="95"/>
      <c r="AB106" s="95"/>
      <c r="AC106" s="95"/>
      <c r="AE106" s="127"/>
    </row>
    <row r="107" spans="19:31" ht="12" customHeight="1" x14ac:dyDescent="0.2">
      <c r="S107" s="107"/>
      <c r="T107" s="107"/>
      <c r="U107" s="95"/>
      <c r="V107" s="95"/>
      <c r="W107" s="95"/>
      <c r="X107" s="95"/>
      <c r="Y107" s="95"/>
      <c r="Z107" s="95"/>
      <c r="AA107" s="95"/>
      <c r="AB107" s="95"/>
      <c r="AC107" s="95"/>
      <c r="AE107" s="127"/>
    </row>
    <row r="108" spans="19:31" ht="12" customHeight="1" x14ac:dyDescent="0.2">
      <c r="S108" s="107"/>
      <c r="T108" s="107"/>
      <c r="U108" s="95"/>
      <c r="V108" s="95"/>
      <c r="W108" s="95"/>
      <c r="X108" s="95"/>
      <c r="Y108" s="95"/>
      <c r="Z108" s="95"/>
      <c r="AA108" s="95"/>
      <c r="AB108" s="95"/>
      <c r="AC108" s="95"/>
      <c r="AE108" s="127"/>
    </row>
    <row r="109" spans="19:31" ht="12" customHeight="1" x14ac:dyDescent="0.2">
      <c r="S109" s="107"/>
      <c r="T109" s="107"/>
      <c r="U109" s="95"/>
      <c r="V109" s="95"/>
      <c r="W109" s="95"/>
      <c r="X109" s="95"/>
      <c r="Y109" s="95"/>
      <c r="Z109" s="95"/>
      <c r="AA109" s="95"/>
      <c r="AB109" s="95"/>
      <c r="AC109" s="95"/>
      <c r="AE109" s="127"/>
    </row>
    <row r="110" spans="19:31" ht="12" customHeight="1" x14ac:dyDescent="0.2">
      <c r="S110" s="107"/>
      <c r="T110" s="107"/>
      <c r="U110" s="95"/>
      <c r="V110" s="95"/>
      <c r="W110" s="95"/>
      <c r="X110" s="95"/>
      <c r="Y110" s="95"/>
      <c r="Z110" s="95"/>
      <c r="AA110" s="95"/>
      <c r="AB110" s="95"/>
      <c r="AC110" s="95"/>
      <c r="AE110" s="127"/>
    </row>
    <row r="111" spans="19:31" ht="12" customHeight="1" x14ac:dyDescent="0.2">
      <c r="S111" s="107"/>
      <c r="T111" s="107"/>
      <c r="U111" s="95"/>
      <c r="V111" s="95"/>
      <c r="W111" s="95"/>
      <c r="X111" s="95"/>
      <c r="Y111" s="95"/>
      <c r="Z111" s="95"/>
      <c r="AA111" s="95"/>
      <c r="AB111" s="95"/>
      <c r="AC111" s="95"/>
      <c r="AE111" s="127"/>
    </row>
    <row r="112" spans="19:31" ht="12" customHeight="1" x14ac:dyDescent="0.2">
      <c r="S112" s="107"/>
      <c r="T112" s="107"/>
      <c r="U112" s="95"/>
      <c r="V112" s="95"/>
      <c r="W112" s="95"/>
      <c r="X112" s="95"/>
      <c r="Y112" s="95"/>
      <c r="Z112" s="95"/>
      <c r="AA112" s="95"/>
      <c r="AB112" s="95"/>
      <c r="AC112" s="95"/>
      <c r="AE112" s="127"/>
    </row>
    <row r="113" spans="19:31" ht="12" customHeight="1" x14ac:dyDescent="0.2">
      <c r="S113" s="107"/>
      <c r="T113" s="107"/>
      <c r="U113" s="95"/>
      <c r="V113" s="95"/>
      <c r="W113" s="95"/>
      <c r="X113" s="95"/>
      <c r="Y113" s="95"/>
      <c r="Z113" s="95"/>
      <c r="AA113" s="95"/>
      <c r="AB113" s="95"/>
      <c r="AC113" s="95"/>
      <c r="AE113" s="127"/>
    </row>
    <row r="114" spans="19:31" ht="12" customHeight="1" x14ac:dyDescent="0.2">
      <c r="S114" s="107"/>
      <c r="T114" s="107"/>
      <c r="U114" s="95"/>
      <c r="V114" s="95"/>
      <c r="W114" s="95"/>
      <c r="X114" s="95"/>
      <c r="Y114" s="95"/>
      <c r="Z114" s="95"/>
      <c r="AA114" s="95"/>
      <c r="AB114" s="95"/>
      <c r="AC114" s="95"/>
      <c r="AE114" s="127"/>
    </row>
    <row r="115" spans="19:31" ht="12" customHeight="1" x14ac:dyDescent="0.2">
      <c r="S115" s="107"/>
      <c r="T115" s="107"/>
      <c r="U115" s="95"/>
      <c r="V115" s="95"/>
      <c r="W115" s="95"/>
      <c r="X115" s="95"/>
      <c r="Y115" s="95"/>
      <c r="Z115" s="95"/>
      <c r="AA115" s="95"/>
      <c r="AB115" s="95"/>
      <c r="AC115" s="95"/>
      <c r="AE115" s="127"/>
    </row>
    <row r="116" spans="19:31" ht="12" customHeight="1" x14ac:dyDescent="0.2">
      <c r="S116" s="107"/>
      <c r="T116" s="107"/>
      <c r="U116" s="95"/>
      <c r="V116" s="95"/>
      <c r="W116" s="95"/>
      <c r="X116" s="95"/>
      <c r="Y116" s="95"/>
      <c r="Z116" s="95"/>
      <c r="AA116" s="95"/>
      <c r="AB116" s="95"/>
      <c r="AC116" s="95"/>
      <c r="AE116" s="127"/>
    </row>
    <row r="117" spans="19:31" ht="12" customHeight="1" x14ac:dyDescent="0.2">
      <c r="S117" s="107"/>
      <c r="T117" s="107"/>
      <c r="U117" s="95"/>
      <c r="V117" s="95"/>
      <c r="W117" s="95"/>
      <c r="X117" s="95"/>
      <c r="Y117" s="95"/>
      <c r="Z117" s="95"/>
      <c r="AA117" s="95"/>
      <c r="AB117" s="95"/>
      <c r="AC117" s="95"/>
      <c r="AE117" s="127"/>
    </row>
    <row r="118" spans="19:31" ht="12" customHeight="1" x14ac:dyDescent="0.2">
      <c r="S118" s="107"/>
      <c r="T118" s="107"/>
      <c r="U118" s="95"/>
      <c r="V118" s="95"/>
      <c r="W118" s="95"/>
      <c r="X118" s="95"/>
      <c r="Y118" s="95"/>
      <c r="Z118" s="95"/>
      <c r="AA118" s="95"/>
      <c r="AB118" s="95"/>
      <c r="AC118" s="95"/>
      <c r="AE118" s="127"/>
    </row>
    <row r="119" spans="19:31" ht="12" customHeight="1" x14ac:dyDescent="0.2">
      <c r="S119" s="107"/>
      <c r="T119" s="107"/>
      <c r="U119" s="95"/>
      <c r="V119" s="95"/>
      <c r="W119" s="95"/>
      <c r="X119" s="95"/>
      <c r="Y119" s="95"/>
      <c r="Z119" s="95"/>
      <c r="AA119" s="95"/>
      <c r="AB119" s="95"/>
      <c r="AC119" s="95"/>
      <c r="AE119" s="127"/>
    </row>
    <row r="120" spans="19:31" ht="12" customHeight="1" x14ac:dyDescent="0.2">
      <c r="S120" s="107"/>
      <c r="T120" s="107"/>
      <c r="U120" s="95"/>
      <c r="V120" s="95"/>
      <c r="W120" s="95"/>
      <c r="X120" s="95"/>
      <c r="Y120" s="95"/>
      <c r="Z120" s="95"/>
      <c r="AA120" s="95"/>
      <c r="AB120" s="95"/>
      <c r="AC120" s="95"/>
      <c r="AE120" s="127"/>
    </row>
    <row r="121" spans="19:31" ht="12" customHeight="1" x14ac:dyDescent="0.2">
      <c r="S121" s="107"/>
      <c r="T121" s="107"/>
      <c r="U121" s="95"/>
      <c r="V121" s="95"/>
      <c r="W121" s="95"/>
      <c r="X121" s="95"/>
      <c r="Y121" s="95"/>
      <c r="Z121" s="95"/>
      <c r="AA121" s="95"/>
      <c r="AB121" s="95"/>
      <c r="AC121" s="95"/>
      <c r="AE121" s="127"/>
    </row>
    <row r="122" spans="19:31" ht="12" customHeight="1" x14ac:dyDescent="0.2">
      <c r="S122" s="107"/>
      <c r="T122" s="107"/>
      <c r="U122" s="95"/>
      <c r="V122" s="95"/>
      <c r="W122" s="95"/>
      <c r="X122" s="95"/>
      <c r="Y122" s="95"/>
      <c r="Z122" s="95"/>
      <c r="AA122" s="95"/>
      <c r="AB122" s="95"/>
      <c r="AC122" s="95"/>
      <c r="AE122" s="127"/>
    </row>
    <row r="123" spans="19:31" ht="12" customHeight="1" x14ac:dyDescent="0.2">
      <c r="S123" s="107"/>
      <c r="T123" s="107"/>
      <c r="U123" s="95"/>
      <c r="V123" s="95"/>
      <c r="W123" s="95"/>
      <c r="X123" s="95"/>
      <c r="Y123" s="95"/>
      <c r="Z123" s="95"/>
      <c r="AA123" s="95"/>
      <c r="AB123" s="95"/>
      <c r="AC123" s="95"/>
      <c r="AE123" s="127"/>
    </row>
    <row r="124" spans="19:31" ht="12" customHeight="1" x14ac:dyDescent="0.2">
      <c r="S124" s="107"/>
      <c r="T124" s="107"/>
      <c r="U124" s="95"/>
      <c r="V124" s="95"/>
      <c r="W124" s="95"/>
      <c r="X124" s="95"/>
      <c r="Y124" s="95"/>
      <c r="Z124" s="95"/>
      <c r="AA124" s="95"/>
      <c r="AB124" s="95"/>
      <c r="AC124" s="95"/>
      <c r="AE124" s="127"/>
    </row>
    <row r="125" spans="19:31" ht="12" customHeight="1" x14ac:dyDescent="0.2">
      <c r="S125" s="107"/>
      <c r="T125" s="107"/>
      <c r="U125" s="95"/>
      <c r="V125" s="95"/>
      <c r="W125" s="95"/>
      <c r="X125" s="95"/>
      <c r="Y125" s="95"/>
      <c r="Z125" s="95"/>
      <c r="AA125" s="95"/>
      <c r="AB125" s="95"/>
      <c r="AC125" s="95"/>
      <c r="AE125" s="127"/>
    </row>
    <row r="126" spans="19:31" ht="12" customHeight="1" x14ac:dyDescent="0.2">
      <c r="S126" s="107"/>
      <c r="T126" s="107"/>
      <c r="U126" s="95"/>
      <c r="V126" s="95"/>
      <c r="W126" s="95"/>
      <c r="X126" s="95"/>
      <c r="Y126" s="95"/>
      <c r="Z126" s="95"/>
      <c r="AA126" s="95"/>
      <c r="AB126" s="95"/>
      <c r="AC126" s="95"/>
      <c r="AE126" s="127"/>
    </row>
    <row r="127" spans="19:31" ht="12" customHeight="1" x14ac:dyDescent="0.2">
      <c r="S127" s="107"/>
      <c r="T127" s="107"/>
      <c r="U127" s="95"/>
      <c r="V127" s="95"/>
      <c r="W127" s="95"/>
      <c r="X127" s="95"/>
      <c r="Y127" s="95"/>
      <c r="Z127" s="95"/>
      <c r="AA127" s="95"/>
      <c r="AB127" s="95"/>
      <c r="AC127" s="95"/>
      <c r="AE127" s="127"/>
    </row>
    <row r="128" spans="19:31" ht="12" customHeight="1" x14ac:dyDescent="0.2">
      <c r="S128" s="107"/>
      <c r="T128" s="107"/>
      <c r="U128" s="95"/>
      <c r="V128" s="95"/>
      <c r="W128" s="95"/>
      <c r="X128" s="95"/>
      <c r="Y128" s="95"/>
      <c r="Z128" s="95"/>
      <c r="AA128" s="95"/>
      <c r="AB128" s="95"/>
      <c r="AC128" s="95"/>
      <c r="AE128" s="127"/>
    </row>
    <row r="129" spans="19:31" ht="12" customHeight="1" x14ac:dyDescent="0.2">
      <c r="S129" s="107"/>
      <c r="T129" s="107"/>
      <c r="U129" s="95"/>
      <c r="V129" s="95"/>
      <c r="W129" s="95"/>
      <c r="X129" s="95"/>
      <c r="Y129" s="95"/>
      <c r="Z129" s="95"/>
      <c r="AA129" s="95"/>
      <c r="AB129" s="95"/>
      <c r="AC129" s="95"/>
      <c r="AE129" s="127"/>
    </row>
    <row r="130" spans="19:31" ht="12" customHeight="1" x14ac:dyDescent="0.2">
      <c r="S130" s="107"/>
      <c r="T130" s="107"/>
      <c r="U130" s="95"/>
      <c r="V130" s="95"/>
      <c r="W130" s="95"/>
      <c r="X130" s="95"/>
      <c r="Y130" s="95"/>
      <c r="Z130" s="95"/>
      <c r="AA130" s="95"/>
      <c r="AB130" s="95"/>
      <c r="AC130" s="95"/>
      <c r="AE130" s="127"/>
    </row>
    <row r="131" spans="19:31" ht="12" customHeight="1" x14ac:dyDescent="0.2">
      <c r="S131" s="107"/>
      <c r="T131" s="107"/>
      <c r="U131" s="95"/>
      <c r="V131" s="95"/>
      <c r="W131" s="95"/>
      <c r="X131" s="95"/>
      <c r="Y131" s="95"/>
      <c r="Z131" s="95"/>
      <c r="AA131" s="95"/>
      <c r="AB131" s="95"/>
      <c r="AC131" s="95"/>
      <c r="AE131" s="127"/>
    </row>
    <row r="132" spans="19:31" ht="12" customHeight="1" x14ac:dyDescent="0.2">
      <c r="S132" s="107"/>
      <c r="T132" s="107"/>
      <c r="U132" s="95"/>
      <c r="V132" s="95"/>
      <c r="W132" s="95"/>
      <c r="X132" s="95"/>
      <c r="Y132" s="95"/>
      <c r="Z132" s="95"/>
      <c r="AA132" s="95"/>
      <c r="AB132" s="95"/>
      <c r="AC132" s="95"/>
      <c r="AE132" s="127"/>
    </row>
    <row r="133" spans="19:31" ht="12" customHeight="1" x14ac:dyDescent="0.2">
      <c r="S133" s="107"/>
      <c r="T133" s="107"/>
      <c r="U133" s="95"/>
      <c r="V133" s="95"/>
      <c r="W133" s="95"/>
      <c r="X133" s="95"/>
      <c r="Y133" s="95"/>
      <c r="Z133" s="95"/>
      <c r="AA133" s="95"/>
      <c r="AB133" s="95"/>
      <c r="AC133" s="95"/>
      <c r="AE133" s="127"/>
    </row>
    <row r="134" spans="19:31" ht="12" customHeight="1" x14ac:dyDescent="0.2">
      <c r="S134" s="107"/>
      <c r="T134" s="107"/>
      <c r="U134" s="95"/>
      <c r="V134" s="95"/>
      <c r="W134" s="95"/>
      <c r="X134" s="95"/>
      <c r="Y134" s="95"/>
      <c r="Z134" s="95"/>
      <c r="AA134" s="95"/>
      <c r="AB134" s="95"/>
      <c r="AC134" s="95"/>
      <c r="AE134" s="127"/>
    </row>
    <row r="135" spans="19:31" ht="12" customHeight="1" x14ac:dyDescent="0.2">
      <c r="S135" s="107"/>
      <c r="T135" s="107"/>
      <c r="U135" s="95"/>
      <c r="V135" s="95"/>
      <c r="W135" s="95"/>
      <c r="X135" s="95"/>
      <c r="Y135" s="95"/>
      <c r="Z135" s="95"/>
      <c r="AA135" s="95"/>
      <c r="AB135" s="95"/>
      <c r="AC135" s="95"/>
      <c r="AE135" s="127"/>
    </row>
    <row r="136" spans="19:31" ht="12" customHeight="1" x14ac:dyDescent="0.2">
      <c r="S136" s="107"/>
      <c r="T136" s="107"/>
      <c r="U136" s="95"/>
      <c r="V136" s="95"/>
      <c r="W136" s="95"/>
      <c r="X136" s="95"/>
      <c r="Y136" s="95"/>
      <c r="Z136" s="95"/>
      <c r="AA136" s="95"/>
      <c r="AB136" s="95"/>
      <c r="AC136" s="95"/>
      <c r="AE136" s="127"/>
    </row>
    <row r="137" spans="19:31" ht="12" customHeight="1" x14ac:dyDescent="0.2">
      <c r="S137" s="107"/>
      <c r="T137" s="107"/>
      <c r="U137" s="95"/>
      <c r="V137" s="95"/>
      <c r="W137" s="95"/>
      <c r="X137" s="95"/>
      <c r="Y137" s="95"/>
      <c r="Z137" s="95"/>
      <c r="AA137" s="95"/>
      <c r="AB137" s="95"/>
      <c r="AC137" s="95"/>
      <c r="AE137" s="127"/>
    </row>
    <row r="138" spans="19:31" ht="12" customHeight="1" x14ac:dyDescent="0.2">
      <c r="S138" s="107"/>
      <c r="T138" s="107"/>
      <c r="U138" s="95"/>
      <c r="V138" s="95"/>
      <c r="W138" s="95"/>
      <c r="X138" s="95"/>
      <c r="Y138" s="95"/>
      <c r="Z138" s="95"/>
      <c r="AA138" s="95"/>
      <c r="AB138" s="95"/>
      <c r="AC138" s="95"/>
      <c r="AE138" s="127"/>
    </row>
    <row r="139" spans="19:31" ht="12" customHeight="1" x14ac:dyDescent="0.2">
      <c r="S139" s="107"/>
      <c r="T139" s="107"/>
      <c r="U139" s="95"/>
      <c r="V139" s="95"/>
      <c r="W139" s="95"/>
      <c r="X139" s="95"/>
      <c r="Y139" s="95"/>
      <c r="Z139" s="95"/>
      <c r="AA139" s="95"/>
      <c r="AB139" s="95"/>
      <c r="AC139" s="95"/>
      <c r="AE139" s="127"/>
    </row>
    <row r="140" spans="19:31" ht="12" customHeight="1" x14ac:dyDescent="0.2">
      <c r="S140" s="107"/>
      <c r="T140" s="107"/>
      <c r="U140" s="95"/>
      <c r="V140" s="95"/>
      <c r="W140" s="95"/>
      <c r="X140" s="95"/>
      <c r="Y140" s="95"/>
      <c r="Z140" s="95"/>
      <c r="AA140" s="95"/>
      <c r="AB140" s="95"/>
      <c r="AC140" s="95"/>
      <c r="AE140" s="127"/>
    </row>
    <row r="141" spans="19:31" ht="12" customHeight="1" x14ac:dyDescent="0.2">
      <c r="S141" s="107"/>
      <c r="T141" s="107"/>
      <c r="U141" s="95"/>
      <c r="V141" s="95"/>
      <c r="W141" s="95"/>
      <c r="X141" s="95"/>
      <c r="Y141" s="95"/>
      <c r="Z141" s="95"/>
      <c r="AA141" s="95"/>
      <c r="AB141" s="95"/>
      <c r="AC141" s="95"/>
      <c r="AE141" s="127"/>
    </row>
    <row r="142" spans="19:31" ht="12" customHeight="1" x14ac:dyDescent="0.2">
      <c r="S142" s="107"/>
      <c r="T142" s="107"/>
      <c r="U142" s="95"/>
      <c r="V142" s="95"/>
      <c r="W142" s="95"/>
      <c r="X142" s="95"/>
      <c r="Y142" s="95"/>
      <c r="Z142" s="95"/>
      <c r="AA142" s="95"/>
      <c r="AB142" s="95"/>
      <c r="AC142" s="95"/>
      <c r="AE142" s="127"/>
    </row>
    <row r="143" spans="19:31" ht="12" customHeight="1" x14ac:dyDescent="0.2">
      <c r="S143" s="107"/>
      <c r="T143" s="107"/>
      <c r="U143" s="95"/>
      <c r="V143" s="95"/>
      <c r="W143" s="95"/>
      <c r="X143" s="95"/>
      <c r="Y143" s="95"/>
      <c r="Z143" s="95"/>
      <c r="AA143" s="95"/>
      <c r="AB143" s="95"/>
      <c r="AC143" s="95"/>
      <c r="AE143" s="127"/>
    </row>
    <row r="144" spans="19:31" ht="12" customHeight="1" x14ac:dyDescent="0.2">
      <c r="S144" s="107"/>
      <c r="T144" s="107"/>
      <c r="U144" s="95"/>
      <c r="V144" s="95"/>
      <c r="W144" s="95"/>
      <c r="X144" s="95"/>
      <c r="Y144" s="95"/>
      <c r="Z144" s="95"/>
      <c r="AA144" s="95"/>
      <c r="AB144" s="95"/>
      <c r="AC144" s="95"/>
      <c r="AE144" s="127"/>
    </row>
    <row r="145" spans="19:31" ht="12" customHeight="1" x14ac:dyDescent="0.2">
      <c r="S145" s="107"/>
      <c r="T145" s="107"/>
      <c r="U145" s="95"/>
      <c r="V145" s="95"/>
      <c r="W145" s="95"/>
      <c r="X145" s="95"/>
      <c r="Y145" s="95"/>
      <c r="Z145" s="95"/>
      <c r="AA145" s="95"/>
      <c r="AB145" s="95"/>
      <c r="AC145" s="95"/>
      <c r="AE145" s="127"/>
    </row>
    <row r="146" spans="19:31" ht="12" customHeight="1" x14ac:dyDescent="0.2">
      <c r="S146" s="107"/>
      <c r="T146" s="107"/>
      <c r="U146" s="95"/>
      <c r="V146" s="95"/>
      <c r="W146" s="95"/>
      <c r="X146" s="95"/>
      <c r="Y146" s="95"/>
      <c r="Z146" s="95"/>
      <c r="AA146" s="95"/>
      <c r="AB146" s="95"/>
      <c r="AC146" s="95"/>
      <c r="AE146" s="127"/>
    </row>
    <row r="147" spans="19:31" ht="12" customHeight="1" x14ac:dyDescent="0.2">
      <c r="S147" s="107"/>
      <c r="T147" s="107"/>
      <c r="U147" s="95"/>
      <c r="V147" s="95"/>
      <c r="W147" s="95"/>
      <c r="X147" s="95"/>
      <c r="Y147" s="95"/>
      <c r="Z147" s="95"/>
      <c r="AA147" s="95"/>
      <c r="AB147" s="95"/>
      <c r="AC147" s="95"/>
      <c r="AE147" s="127"/>
    </row>
    <row r="148" spans="19:31" ht="12" customHeight="1" x14ac:dyDescent="0.2">
      <c r="S148" s="107"/>
      <c r="T148" s="107"/>
      <c r="U148" s="95"/>
      <c r="V148" s="95"/>
      <c r="W148" s="95"/>
      <c r="X148" s="95"/>
      <c r="Y148" s="95"/>
      <c r="Z148" s="95"/>
      <c r="AA148" s="95"/>
      <c r="AB148" s="95"/>
      <c r="AC148" s="95"/>
      <c r="AE148" s="127"/>
    </row>
    <row r="149" spans="19:31" ht="12" customHeight="1" x14ac:dyDescent="0.2">
      <c r="S149" s="107"/>
      <c r="T149" s="107"/>
      <c r="U149" s="95"/>
      <c r="V149" s="95"/>
      <c r="W149" s="95"/>
      <c r="X149" s="95"/>
      <c r="Y149" s="95"/>
      <c r="Z149" s="95"/>
      <c r="AA149" s="95"/>
      <c r="AB149" s="95"/>
      <c r="AC149" s="95"/>
      <c r="AE149" s="127"/>
    </row>
    <row r="150" spans="19:31" ht="12" customHeight="1" x14ac:dyDescent="0.2">
      <c r="S150" s="107"/>
      <c r="T150" s="107"/>
      <c r="U150" s="95"/>
      <c r="V150" s="95"/>
      <c r="W150" s="95"/>
      <c r="X150" s="95"/>
      <c r="Y150" s="95"/>
      <c r="Z150" s="95"/>
      <c r="AA150" s="95"/>
      <c r="AB150" s="95"/>
      <c r="AC150" s="95"/>
      <c r="AE150" s="127"/>
    </row>
    <row r="151" spans="19:31" ht="12" customHeight="1" x14ac:dyDescent="0.2">
      <c r="S151" s="107"/>
      <c r="T151" s="107"/>
      <c r="U151" s="95"/>
      <c r="V151" s="95"/>
      <c r="W151" s="95"/>
      <c r="X151" s="95"/>
      <c r="Y151" s="95"/>
      <c r="Z151" s="95"/>
      <c r="AA151" s="95"/>
      <c r="AB151" s="95"/>
      <c r="AC151" s="95"/>
      <c r="AE151" s="127"/>
    </row>
    <row r="152" spans="19:31" ht="12" customHeight="1" x14ac:dyDescent="0.2">
      <c r="S152" s="107"/>
      <c r="T152" s="107"/>
      <c r="U152" s="95"/>
      <c r="V152" s="95"/>
      <c r="W152" s="95"/>
      <c r="X152" s="95"/>
      <c r="Y152" s="95"/>
      <c r="Z152" s="95"/>
      <c r="AA152" s="95"/>
      <c r="AB152" s="95"/>
      <c r="AC152" s="95"/>
      <c r="AE152" s="127"/>
    </row>
    <row r="153" spans="19:31" ht="12" customHeight="1" x14ac:dyDescent="0.2">
      <c r="S153" s="107"/>
      <c r="T153" s="107"/>
      <c r="U153" s="95"/>
      <c r="V153" s="95"/>
      <c r="W153" s="95"/>
      <c r="X153" s="95"/>
      <c r="Y153" s="95"/>
      <c r="Z153" s="95"/>
      <c r="AA153" s="95"/>
      <c r="AB153" s="95"/>
      <c r="AC153" s="95"/>
      <c r="AE153" s="127"/>
    </row>
    <row r="154" spans="19:31" ht="12" customHeight="1" x14ac:dyDescent="0.2">
      <c r="S154" s="111"/>
      <c r="T154" s="107"/>
      <c r="U154" s="95"/>
      <c r="V154" s="95"/>
      <c r="W154" s="95"/>
      <c r="X154" s="95"/>
      <c r="Y154" s="95"/>
      <c r="Z154" s="95"/>
      <c r="AA154" s="95"/>
      <c r="AB154" s="95"/>
      <c r="AC154" s="95"/>
      <c r="AE154" s="127"/>
    </row>
    <row r="155" spans="19:31" ht="12" customHeight="1" x14ac:dyDescent="0.2">
      <c r="S155" s="111"/>
      <c r="T155" s="107"/>
      <c r="U155" s="95"/>
      <c r="V155" s="95"/>
      <c r="W155" s="95"/>
      <c r="X155" s="95"/>
      <c r="Y155" s="95"/>
      <c r="Z155" s="95"/>
      <c r="AA155" s="95"/>
      <c r="AB155" s="95"/>
      <c r="AC155" s="95"/>
      <c r="AE155" s="127"/>
    </row>
    <row r="156" spans="19:31" ht="12" customHeight="1" x14ac:dyDescent="0.2">
      <c r="S156" s="107"/>
      <c r="T156" s="107"/>
      <c r="U156" s="95"/>
      <c r="V156" s="95"/>
      <c r="W156" s="95"/>
      <c r="X156" s="95"/>
      <c r="Y156" s="95"/>
      <c r="Z156" s="95"/>
      <c r="AA156" s="95"/>
      <c r="AB156" s="95"/>
      <c r="AC156" s="95"/>
      <c r="AE156" s="127"/>
    </row>
    <row r="157" spans="19:31" ht="12" customHeight="1" x14ac:dyDescent="0.2">
      <c r="S157" s="107"/>
      <c r="T157" s="107"/>
      <c r="U157" s="95"/>
      <c r="V157" s="95"/>
      <c r="W157" s="95"/>
      <c r="X157" s="95"/>
      <c r="Y157" s="95"/>
      <c r="Z157" s="95"/>
      <c r="AA157" s="95"/>
      <c r="AB157" s="95"/>
      <c r="AC157" s="95"/>
      <c r="AE157" s="127"/>
    </row>
    <row r="158" spans="19:31" ht="12" customHeight="1" x14ac:dyDescent="0.2">
      <c r="S158" s="107"/>
      <c r="T158" s="107"/>
      <c r="U158" s="95"/>
      <c r="V158" s="95"/>
      <c r="W158" s="95"/>
      <c r="X158" s="95"/>
      <c r="Y158" s="95"/>
      <c r="Z158" s="95"/>
      <c r="AA158" s="95"/>
      <c r="AB158" s="95"/>
      <c r="AC158" s="95"/>
      <c r="AE158" s="127"/>
    </row>
    <row r="159" spans="19:31" ht="12" customHeight="1" x14ac:dyDescent="0.2">
      <c r="S159" s="107"/>
      <c r="T159" s="107"/>
      <c r="U159" s="95"/>
      <c r="V159" s="95"/>
      <c r="W159" s="95"/>
      <c r="X159" s="95"/>
      <c r="Y159" s="95"/>
      <c r="Z159" s="95"/>
      <c r="AA159" s="95"/>
      <c r="AB159" s="95"/>
      <c r="AC159" s="95"/>
      <c r="AE159" s="127"/>
    </row>
    <row r="160" spans="19:31" ht="12" customHeight="1" x14ac:dyDescent="0.2">
      <c r="S160" s="107"/>
      <c r="T160" s="107"/>
      <c r="U160" s="95"/>
      <c r="V160" s="95"/>
      <c r="W160" s="95"/>
      <c r="X160" s="95"/>
      <c r="Y160" s="95"/>
      <c r="Z160" s="95"/>
      <c r="AA160" s="95"/>
      <c r="AB160" s="95"/>
      <c r="AC160" s="95"/>
      <c r="AE160" s="127"/>
    </row>
    <row r="161" spans="19:31" ht="12" customHeight="1" x14ac:dyDescent="0.2">
      <c r="S161" s="107"/>
      <c r="T161" s="107"/>
      <c r="U161" s="95"/>
      <c r="V161" s="95"/>
      <c r="W161" s="95"/>
      <c r="X161" s="95"/>
      <c r="Y161" s="95"/>
      <c r="Z161" s="95"/>
      <c r="AA161" s="95"/>
      <c r="AB161" s="95"/>
      <c r="AC161" s="95"/>
      <c r="AE161" s="127"/>
    </row>
    <row r="162" spans="19:31" ht="12" customHeight="1" x14ac:dyDescent="0.2">
      <c r="S162" s="107"/>
      <c r="T162" s="107"/>
      <c r="U162" s="95"/>
      <c r="V162" s="95"/>
      <c r="W162" s="95"/>
      <c r="X162" s="95"/>
      <c r="Y162" s="95"/>
      <c r="Z162" s="95"/>
      <c r="AA162" s="95"/>
      <c r="AB162" s="95"/>
      <c r="AC162" s="95"/>
      <c r="AE162" s="127"/>
    </row>
    <row r="163" spans="19:31" ht="12" customHeight="1" x14ac:dyDescent="0.2">
      <c r="S163" s="107"/>
      <c r="T163" s="107"/>
      <c r="U163" s="95"/>
      <c r="V163" s="95"/>
      <c r="W163" s="95"/>
      <c r="X163" s="95"/>
      <c r="Y163" s="95"/>
      <c r="Z163" s="95"/>
      <c r="AA163" s="95"/>
      <c r="AB163" s="95"/>
      <c r="AC163" s="95"/>
      <c r="AE163" s="127"/>
    </row>
    <row r="164" spans="19:31" ht="12" customHeight="1" x14ac:dyDescent="0.2">
      <c r="S164" s="107"/>
      <c r="T164" s="107"/>
      <c r="U164" s="95"/>
      <c r="V164" s="95"/>
      <c r="W164" s="95"/>
      <c r="X164" s="95"/>
      <c r="Y164" s="95"/>
      <c r="Z164" s="95"/>
      <c r="AA164" s="95"/>
      <c r="AB164" s="95"/>
      <c r="AC164" s="95"/>
      <c r="AE164" s="127"/>
    </row>
    <row r="165" spans="19:31" ht="12" customHeight="1" x14ac:dyDescent="0.2">
      <c r="S165" s="107"/>
      <c r="T165" s="107"/>
      <c r="U165" s="95"/>
      <c r="V165" s="95"/>
      <c r="W165" s="95"/>
      <c r="X165" s="95"/>
      <c r="Y165" s="95"/>
      <c r="Z165" s="95"/>
      <c r="AA165" s="95"/>
      <c r="AB165" s="95"/>
      <c r="AC165" s="95"/>
      <c r="AE165" s="127"/>
    </row>
    <row r="166" spans="19:31" ht="12" customHeight="1" x14ac:dyDescent="0.2">
      <c r="U166" s="95"/>
      <c r="V166" s="95"/>
      <c r="W166" s="95"/>
      <c r="X166" s="95"/>
      <c r="Y166" s="95"/>
      <c r="Z166" s="95"/>
      <c r="AA166" s="95"/>
      <c r="AB166" s="95"/>
      <c r="AC166" s="95"/>
      <c r="AE166" s="127"/>
    </row>
    <row r="167" spans="19:31" ht="12" customHeight="1" x14ac:dyDescent="0.2">
      <c r="S167" s="107"/>
      <c r="T167" s="107"/>
      <c r="U167" s="95"/>
      <c r="V167" s="95"/>
      <c r="W167" s="95"/>
      <c r="X167" s="95"/>
      <c r="Y167" s="95"/>
      <c r="Z167" s="95"/>
      <c r="AA167" s="95"/>
      <c r="AB167" s="95"/>
      <c r="AC167" s="95"/>
      <c r="AE167" s="127"/>
    </row>
    <row r="168" spans="19:31" ht="12" customHeight="1" x14ac:dyDescent="0.2">
      <c r="S168" s="107"/>
      <c r="T168" s="107"/>
      <c r="U168" s="95"/>
      <c r="V168" s="95"/>
      <c r="W168" s="95"/>
      <c r="X168" s="95"/>
      <c r="Y168" s="95"/>
      <c r="Z168" s="95"/>
      <c r="AA168" s="95"/>
      <c r="AB168" s="95"/>
      <c r="AC168" s="95"/>
      <c r="AE168" s="127"/>
    </row>
    <row r="169" spans="19:31" ht="12" customHeight="1" x14ac:dyDescent="0.2">
      <c r="S169" s="107"/>
      <c r="T169" s="107"/>
      <c r="U169" s="95"/>
      <c r="V169" s="95"/>
      <c r="W169" s="95"/>
      <c r="X169" s="95"/>
      <c r="Y169" s="95"/>
      <c r="Z169" s="95"/>
      <c r="AA169" s="95"/>
      <c r="AB169" s="95"/>
      <c r="AC169" s="95"/>
      <c r="AE169" s="127"/>
    </row>
    <row r="170" spans="19:31" ht="12" customHeight="1" x14ac:dyDescent="0.2">
      <c r="S170" s="107"/>
      <c r="T170" s="107"/>
      <c r="U170" s="95"/>
      <c r="V170" s="95"/>
      <c r="W170" s="95"/>
      <c r="X170" s="95"/>
      <c r="Y170" s="95"/>
      <c r="Z170" s="95"/>
      <c r="AA170" s="95"/>
      <c r="AB170" s="95"/>
      <c r="AC170" s="95"/>
      <c r="AE170" s="127"/>
    </row>
    <row r="171" spans="19:31" ht="12" customHeight="1" x14ac:dyDescent="0.2">
      <c r="S171" s="107"/>
      <c r="T171" s="107"/>
      <c r="U171" s="95"/>
      <c r="V171" s="95"/>
      <c r="W171" s="95"/>
      <c r="X171" s="95"/>
      <c r="Y171" s="95"/>
      <c r="Z171" s="95"/>
      <c r="AA171" s="95"/>
      <c r="AB171" s="95"/>
      <c r="AC171" s="95"/>
      <c r="AE171" s="127"/>
    </row>
    <row r="172" spans="19:31" ht="12" customHeight="1" x14ac:dyDescent="0.2">
      <c r="S172" s="107"/>
      <c r="T172" s="107"/>
      <c r="U172" s="95"/>
      <c r="V172" s="95"/>
      <c r="W172" s="95"/>
      <c r="X172" s="95"/>
      <c r="Y172" s="95"/>
      <c r="Z172" s="95"/>
      <c r="AA172" s="95"/>
      <c r="AB172" s="95"/>
      <c r="AC172" s="95"/>
      <c r="AD172" s="108"/>
      <c r="AE172" s="127"/>
    </row>
    <row r="173" spans="19:31" ht="12" customHeight="1" x14ac:dyDescent="0.2">
      <c r="S173" s="107"/>
      <c r="T173" s="107"/>
      <c r="U173" s="95"/>
      <c r="V173" s="95"/>
      <c r="W173" s="95"/>
      <c r="X173" s="95"/>
      <c r="Y173" s="95"/>
      <c r="Z173" s="95"/>
      <c r="AA173" s="95"/>
      <c r="AB173" s="95"/>
      <c r="AC173" s="95"/>
      <c r="AD173" s="108"/>
      <c r="AE173" s="127"/>
    </row>
    <row r="174" spans="19:31" ht="12" customHeight="1" x14ac:dyDescent="0.2">
      <c r="S174" s="107"/>
      <c r="T174" s="107"/>
      <c r="U174" s="95"/>
      <c r="V174" s="95"/>
      <c r="W174" s="95"/>
      <c r="X174" s="95"/>
      <c r="Y174" s="95"/>
      <c r="Z174" s="95"/>
      <c r="AA174" s="95"/>
      <c r="AB174" s="95"/>
      <c r="AC174" s="95"/>
      <c r="AD174" s="108"/>
      <c r="AE174" s="127"/>
    </row>
    <row r="175" spans="19:31" ht="12" customHeight="1" x14ac:dyDescent="0.2">
      <c r="S175" s="107"/>
      <c r="T175" s="107"/>
      <c r="U175" s="95"/>
      <c r="V175" s="95"/>
      <c r="W175" s="95"/>
      <c r="X175" s="95"/>
      <c r="Y175" s="95"/>
      <c r="Z175" s="95"/>
      <c r="AA175" s="95"/>
      <c r="AB175" s="95"/>
      <c r="AC175" s="95"/>
      <c r="AD175" s="108"/>
      <c r="AE175" s="127"/>
    </row>
    <row r="176" spans="19:31" ht="12" customHeight="1" x14ac:dyDescent="0.2">
      <c r="S176" s="107"/>
      <c r="T176" s="107"/>
      <c r="U176" s="95"/>
      <c r="V176" s="95"/>
      <c r="W176" s="95"/>
      <c r="X176" s="95"/>
      <c r="Y176" s="95"/>
      <c r="Z176" s="95"/>
      <c r="AA176" s="95"/>
      <c r="AB176" s="95"/>
      <c r="AC176" s="95"/>
      <c r="AE176" s="127"/>
    </row>
    <row r="177" spans="19:31" ht="12" customHeight="1" x14ac:dyDescent="0.2">
      <c r="S177" s="107"/>
      <c r="T177" s="107"/>
      <c r="U177" s="95"/>
      <c r="V177" s="95"/>
      <c r="W177" s="95"/>
      <c r="X177" s="95"/>
      <c r="Y177" s="95"/>
      <c r="Z177" s="95"/>
      <c r="AA177" s="95"/>
      <c r="AB177" s="95"/>
      <c r="AC177" s="95"/>
      <c r="AD177" s="108"/>
      <c r="AE177" s="127"/>
    </row>
    <row r="178" spans="19:31" ht="12" customHeight="1" x14ac:dyDescent="0.2">
      <c r="S178" s="107"/>
      <c r="T178" s="107"/>
      <c r="U178" s="95"/>
      <c r="V178" s="95"/>
      <c r="W178" s="95"/>
      <c r="X178" s="95"/>
      <c r="Y178" s="95"/>
      <c r="Z178" s="95"/>
      <c r="AA178" s="95"/>
      <c r="AB178" s="95"/>
      <c r="AC178" s="95"/>
      <c r="AD178" s="108"/>
      <c r="AE178" s="127"/>
    </row>
    <row r="179" spans="19:31" ht="12" customHeight="1" x14ac:dyDescent="0.2">
      <c r="S179" s="107"/>
      <c r="T179" s="107"/>
      <c r="U179" s="95"/>
      <c r="V179" s="95"/>
      <c r="W179" s="95"/>
      <c r="X179" s="95"/>
      <c r="Y179" s="95"/>
      <c r="Z179" s="95"/>
      <c r="AA179" s="95"/>
      <c r="AB179" s="95"/>
      <c r="AC179" s="95"/>
      <c r="AD179" s="108"/>
      <c r="AE179" s="127"/>
    </row>
    <row r="180" spans="19:31" ht="12" customHeight="1" x14ac:dyDescent="0.2">
      <c r="S180" s="107"/>
      <c r="T180" s="107"/>
      <c r="U180" s="95"/>
      <c r="V180" s="95"/>
      <c r="W180" s="95"/>
      <c r="X180" s="95"/>
      <c r="Y180" s="95"/>
      <c r="Z180" s="95"/>
      <c r="AA180" s="95"/>
      <c r="AB180" s="95"/>
      <c r="AC180" s="95"/>
      <c r="AD180" s="108"/>
      <c r="AE180" s="127"/>
    </row>
    <row r="181" spans="19:31" ht="12" customHeight="1" x14ac:dyDescent="0.2">
      <c r="S181" s="107"/>
      <c r="T181" s="107"/>
      <c r="U181" s="95"/>
      <c r="V181" s="95"/>
      <c r="W181" s="95"/>
      <c r="X181" s="95"/>
      <c r="Y181" s="95"/>
      <c r="Z181" s="95"/>
      <c r="AA181" s="95"/>
      <c r="AB181" s="95"/>
      <c r="AC181" s="95"/>
      <c r="AE181" s="127"/>
    </row>
    <row r="182" spans="19:31" ht="12" customHeight="1" x14ac:dyDescent="0.2">
      <c r="S182" s="107"/>
      <c r="T182" s="107"/>
      <c r="U182" s="95"/>
      <c r="V182" s="95"/>
      <c r="W182" s="95"/>
      <c r="X182" s="95"/>
      <c r="Y182" s="95"/>
      <c r="Z182" s="95"/>
      <c r="AA182" s="95"/>
      <c r="AB182" s="95"/>
      <c r="AC182" s="95"/>
      <c r="AD182" s="108"/>
      <c r="AE182" s="127"/>
    </row>
    <row r="183" spans="19:31" ht="12" customHeight="1" x14ac:dyDescent="0.2">
      <c r="S183" s="107"/>
      <c r="T183" s="107"/>
      <c r="U183" s="95"/>
      <c r="V183" s="95"/>
      <c r="W183" s="95"/>
      <c r="X183" s="95"/>
      <c r="Y183" s="95"/>
      <c r="Z183" s="95"/>
      <c r="AA183" s="95"/>
      <c r="AB183" s="95"/>
      <c r="AC183" s="95"/>
      <c r="AD183" s="108"/>
      <c r="AE183" s="127"/>
    </row>
    <row r="184" spans="19:31" ht="12" customHeight="1" x14ac:dyDescent="0.2">
      <c r="S184" s="107"/>
      <c r="T184" s="107"/>
      <c r="U184" s="95"/>
      <c r="V184" s="95"/>
      <c r="W184" s="95"/>
      <c r="X184" s="95"/>
      <c r="Y184" s="95"/>
      <c r="Z184" s="95"/>
      <c r="AA184" s="95"/>
      <c r="AB184" s="95"/>
      <c r="AC184" s="95"/>
      <c r="AD184" s="108"/>
      <c r="AE184" s="127"/>
    </row>
    <row r="185" spans="19:31" ht="12" customHeight="1" x14ac:dyDescent="0.2">
      <c r="S185" s="107"/>
      <c r="T185" s="107"/>
      <c r="U185" s="95"/>
      <c r="V185" s="95"/>
      <c r="W185" s="95"/>
      <c r="X185" s="95"/>
      <c r="Y185" s="95"/>
      <c r="Z185" s="95"/>
      <c r="AA185" s="95"/>
      <c r="AB185" s="95"/>
      <c r="AC185" s="95"/>
      <c r="AD185" s="108"/>
      <c r="AE185" s="127"/>
    </row>
    <row r="186" spans="19:31" ht="12" customHeight="1" x14ac:dyDescent="0.2">
      <c r="S186" s="107"/>
      <c r="T186" s="107"/>
      <c r="U186" s="95"/>
      <c r="V186" s="95"/>
      <c r="W186" s="95"/>
      <c r="X186" s="95"/>
      <c r="Y186" s="95"/>
      <c r="Z186" s="95"/>
      <c r="AA186" s="95"/>
      <c r="AB186" s="95"/>
      <c r="AC186" s="95"/>
      <c r="AE186" s="127"/>
    </row>
    <row r="187" spans="19:31" ht="12" customHeight="1" x14ac:dyDescent="0.2">
      <c r="S187" s="107"/>
      <c r="T187" s="107"/>
      <c r="U187" s="95"/>
      <c r="V187" s="95"/>
      <c r="W187" s="95"/>
      <c r="X187" s="95"/>
      <c r="Y187" s="95"/>
      <c r="Z187" s="95"/>
      <c r="AA187" s="95"/>
      <c r="AB187" s="95"/>
      <c r="AC187" s="95"/>
      <c r="AD187" s="108"/>
      <c r="AE187" s="127"/>
    </row>
    <row r="188" spans="19:31" ht="12" customHeight="1" x14ac:dyDescent="0.2">
      <c r="S188" s="107"/>
      <c r="T188" s="107"/>
      <c r="U188" s="95"/>
      <c r="V188" s="95"/>
      <c r="W188" s="95"/>
      <c r="X188" s="95"/>
      <c r="Y188" s="95"/>
      <c r="Z188" s="95"/>
      <c r="AA188" s="95"/>
      <c r="AB188" s="95"/>
      <c r="AC188" s="95"/>
      <c r="AD188" s="108"/>
      <c r="AE188" s="127"/>
    </row>
    <row r="189" spans="19:31" ht="12" customHeight="1" x14ac:dyDescent="0.2">
      <c r="S189" s="107"/>
      <c r="T189" s="107"/>
      <c r="U189" s="95"/>
      <c r="V189" s="95"/>
      <c r="W189" s="95"/>
      <c r="X189" s="95"/>
      <c r="Y189" s="95"/>
      <c r="Z189" s="95"/>
      <c r="AA189" s="95"/>
      <c r="AB189" s="95"/>
      <c r="AC189" s="95"/>
      <c r="AD189" s="108"/>
      <c r="AE189" s="127"/>
    </row>
    <row r="190" spans="19:31" ht="12" customHeight="1" x14ac:dyDescent="0.2">
      <c r="S190" s="107"/>
      <c r="T190" s="107"/>
      <c r="U190" s="95"/>
      <c r="V190" s="95"/>
      <c r="W190" s="95"/>
      <c r="X190" s="95"/>
      <c r="Y190" s="95"/>
      <c r="Z190" s="95"/>
      <c r="AA190" s="95"/>
      <c r="AB190" s="95"/>
      <c r="AC190" s="95"/>
      <c r="AD190" s="108"/>
      <c r="AE190" s="127"/>
    </row>
    <row r="191" spans="19:31" ht="12" customHeight="1" x14ac:dyDescent="0.2">
      <c r="S191" s="107"/>
      <c r="T191" s="107"/>
      <c r="U191" s="95"/>
      <c r="V191" s="95"/>
      <c r="W191" s="95"/>
      <c r="X191" s="95"/>
      <c r="Y191" s="95"/>
      <c r="Z191" s="95"/>
      <c r="AA191" s="95"/>
      <c r="AB191" s="95"/>
      <c r="AC191" s="95"/>
      <c r="AE191" s="127"/>
    </row>
    <row r="192" spans="19:31" ht="12" customHeight="1" x14ac:dyDescent="0.2">
      <c r="S192" s="107"/>
      <c r="T192" s="107"/>
      <c r="U192" s="95"/>
      <c r="V192" s="95"/>
      <c r="W192" s="95"/>
      <c r="X192" s="95"/>
      <c r="Y192" s="95"/>
      <c r="Z192" s="95"/>
      <c r="AA192" s="95"/>
      <c r="AB192" s="95"/>
      <c r="AC192" s="95"/>
      <c r="AD192" s="108"/>
      <c r="AE192" s="127"/>
    </row>
    <row r="193" spans="19:31" ht="12" customHeight="1" x14ac:dyDescent="0.2">
      <c r="S193" s="107"/>
      <c r="T193" s="107"/>
      <c r="U193" s="95"/>
      <c r="V193" s="95"/>
      <c r="W193" s="95"/>
      <c r="X193" s="95"/>
      <c r="Y193" s="95"/>
      <c r="Z193" s="95"/>
      <c r="AA193" s="95"/>
      <c r="AB193" s="95"/>
      <c r="AC193" s="95"/>
      <c r="AD193" s="108"/>
      <c r="AE193" s="127"/>
    </row>
    <row r="194" spans="19:31" ht="12" customHeight="1" x14ac:dyDescent="0.2">
      <c r="S194" s="107"/>
      <c r="T194" s="107"/>
      <c r="U194" s="95"/>
      <c r="V194" s="95"/>
      <c r="W194" s="95"/>
      <c r="X194" s="95"/>
      <c r="Y194" s="95"/>
      <c r="Z194" s="95"/>
      <c r="AA194" s="95"/>
      <c r="AB194" s="95"/>
      <c r="AC194" s="95"/>
      <c r="AD194" s="108"/>
      <c r="AE194" s="127"/>
    </row>
    <row r="195" spans="19:31" ht="12" customHeight="1" x14ac:dyDescent="0.2">
      <c r="S195" s="107"/>
      <c r="T195" s="107"/>
      <c r="U195" s="95"/>
      <c r="V195" s="95"/>
      <c r="W195" s="95"/>
      <c r="X195" s="95"/>
      <c r="Y195" s="95"/>
      <c r="Z195" s="95"/>
      <c r="AA195" s="95"/>
      <c r="AB195" s="95"/>
      <c r="AC195" s="95"/>
      <c r="AE195" s="127"/>
    </row>
    <row r="196" spans="19:31" ht="12" customHeight="1" x14ac:dyDescent="0.2">
      <c r="S196" s="107"/>
      <c r="T196" s="107"/>
      <c r="U196" s="95"/>
      <c r="V196" s="95"/>
      <c r="W196" s="95"/>
      <c r="X196" s="95"/>
      <c r="Y196" s="95"/>
      <c r="Z196" s="95"/>
      <c r="AA196" s="95"/>
      <c r="AB196" s="95"/>
      <c r="AC196" s="95"/>
      <c r="AD196" s="108"/>
      <c r="AE196" s="127"/>
    </row>
    <row r="197" spans="19:31" ht="12" customHeight="1" x14ac:dyDescent="0.2">
      <c r="S197" s="107"/>
      <c r="T197" s="107"/>
      <c r="U197" s="95"/>
      <c r="V197" s="95"/>
      <c r="W197" s="95"/>
      <c r="X197" s="95"/>
      <c r="Y197" s="95"/>
      <c r="Z197" s="95"/>
      <c r="AA197" s="95"/>
      <c r="AB197" s="95"/>
      <c r="AC197" s="95"/>
      <c r="AD197" s="108"/>
      <c r="AE197" s="127"/>
    </row>
    <row r="198" spans="19:31" ht="12" customHeight="1" x14ac:dyDescent="0.2">
      <c r="S198" s="107"/>
      <c r="T198" s="107"/>
      <c r="U198" s="95"/>
      <c r="V198" s="95"/>
      <c r="W198" s="95"/>
      <c r="X198" s="95"/>
      <c r="Y198" s="95"/>
      <c r="Z198" s="95"/>
      <c r="AA198" s="95"/>
      <c r="AB198" s="95"/>
      <c r="AC198" s="95"/>
      <c r="AD198" s="108"/>
      <c r="AE198" s="127"/>
    </row>
    <row r="199" spans="19:31" ht="12" customHeight="1" x14ac:dyDescent="0.2">
      <c r="S199" s="107"/>
      <c r="T199" s="107"/>
      <c r="U199" s="95"/>
      <c r="V199" s="95"/>
      <c r="W199" s="95"/>
      <c r="X199" s="95"/>
      <c r="Y199" s="95"/>
      <c r="Z199" s="95"/>
      <c r="AA199" s="95"/>
      <c r="AB199" s="95"/>
      <c r="AC199" s="95"/>
      <c r="AD199" s="108"/>
      <c r="AE199" s="127"/>
    </row>
    <row r="200" spans="19:31" ht="12" customHeight="1" x14ac:dyDescent="0.2">
      <c r="S200" s="107"/>
      <c r="T200" s="107"/>
      <c r="U200" s="95"/>
      <c r="V200" s="95"/>
      <c r="W200" s="95"/>
      <c r="X200" s="95"/>
      <c r="Y200" s="95"/>
      <c r="Z200" s="95"/>
      <c r="AA200" s="95"/>
      <c r="AB200" s="95"/>
      <c r="AC200" s="95"/>
      <c r="AE200" s="127"/>
    </row>
    <row r="201" spans="19:31" ht="12" customHeight="1" x14ac:dyDescent="0.2">
      <c r="S201" s="107"/>
      <c r="T201" s="107"/>
      <c r="U201" s="95"/>
      <c r="V201" s="95"/>
      <c r="W201" s="95"/>
      <c r="X201" s="95"/>
      <c r="Y201" s="95"/>
      <c r="Z201" s="95"/>
      <c r="AA201" s="95"/>
      <c r="AB201" s="95"/>
      <c r="AC201" s="95"/>
      <c r="AD201" s="108"/>
      <c r="AE201" s="127"/>
    </row>
    <row r="202" spans="19:31" ht="12" customHeight="1" x14ac:dyDescent="0.2">
      <c r="S202" s="107"/>
      <c r="T202" s="107"/>
      <c r="U202" s="95"/>
      <c r="V202" s="95"/>
      <c r="W202" s="95"/>
      <c r="X202" s="95"/>
      <c r="Y202" s="95"/>
      <c r="Z202" s="95"/>
      <c r="AA202" s="95"/>
      <c r="AB202" s="95"/>
      <c r="AC202" s="95"/>
      <c r="AD202" s="108"/>
      <c r="AE202" s="127"/>
    </row>
    <row r="203" spans="19:31" ht="12" customHeight="1" x14ac:dyDescent="0.2">
      <c r="S203" s="107"/>
      <c r="T203" s="107"/>
      <c r="U203" s="95"/>
      <c r="V203" s="95"/>
      <c r="W203" s="95"/>
      <c r="X203" s="95"/>
      <c r="Y203" s="95"/>
      <c r="Z203" s="95"/>
      <c r="AA203" s="95"/>
      <c r="AB203" s="95"/>
      <c r="AC203" s="95"/>
      <c r="AD203" s="108"/>
      <c r="AE203" s="127"/>
    </row>
    <row r="204" spans="19:31" ht="12" customHeight="1" x14ac:dyDescent="0.2">
      <c r="S204" s="107"/>
      <c r="T204" s="107"/>
      <c r="U204" s="95"/>
      <c r="V204" s="95"/>
      <c r="W204" s="95"/>
      <c r="X204" s="95"/>
      <c r="Y204" s="95"/>
      <c r="Z204" s="95"/>
      <c r="AA204" s="95"/>
      <c r="AB204" s="95"/>
      <c r="AC204" s="95"/>
      <c r="AD204" s="108"/>
      <c r="AE204" s="127"/>
    </row>
    <row r="205" spans="19:31" ht="12" customHeight="1" x14ac:dyDescent="0.2">
      <c r="U205" s="95"/>
      <c r="V205" s="95"/>
      <c r="W205" s="95"/>
      <c r="X205" s="95"/>
      <c r="Y205" s="95"/>
      <c r="Z205" s="95"/>
      <c r="AA205" s="95"/>
      <c r="AB205" s="95"/>
      <c r="AC205" s="95"/>
      <c r="AE205" s="127"/>
    </row>
    <row r="206" spans="19:31" ht="12" customHeight="1" x14ac:dyDescent="0.2">
      <c r="S206" s="107"/>
      <c r="T206" s="107"/>
      <c r="U206" s="95"/>
      <c r="V206" s="95"/>
      <c r="W206" s="95"/>
      <c r="X206" s="95"/>
      <c r="Y206" s="95"/>
      <c r="Z206" s="95"/>
      <c r="AA206" s="95"/>
      <c r="AB206" s="95"/>
      <c r="AC206" s="95"/>
      <c r="AE206" s="127"/>
    </row>
    <row r="207" spans="19:31" ht="12" customHeight="1" x14ac:dyDescent="0.2">
      <c r="S207" s="107"/>
      <c r="T207" s="107"/>
      <c r="U207" s="95"/>
      <c r="V207" s="95"/>
      <c r="W207" s="95"/>
      <c r="X207" s="95"/>
      <c r="Y207" s="95"/>
      <c r="Z207" s="95"/>
      <c r="AA207" s="95"/>
      <c r="AB207" s="95"/>
      <c r="AC207" s="95"/>
      <c r="AE207" s="127"/>
    </row>
    <row r="208" spans="19:31" ht="12" customHeight="1" x14ac:dyDescent="0.2">
      <c r="S208" s="107"/>
      <c r="T208" s="107"/>
      <c r="U208" s="95"/>
      <c r="V208" s="95"/>
      <c r="W208" s="95"/>
      <c r="X208" s="95"/>
      <c r="Y208" s="95"/>
      <c r="Z208" s="95"/>
      <c r="AA208" s="95"/>
      <c r="AB208" s="95"/>
      <c r="AC208" s="95"/>
      <c r="AE208" s="127"/>
    </row>
    <row r="209" spans="19:31" ht="12" customHeight="1" x14ac:dyDescent="0.2">
      <c r="S209" s="107"/>
      <c r="T209" s="107"/>
      <c r="U209" s="95"/>
      <c r="V209" s="95"/>
      <c r="W209" s="95"/>
      <c r="X209" s="95"/>
      <c r="Y209" s="95"/>
      <c r="Z209" s="95"/>
      <c r="AA209" s="95"/>
      <c r="AB209" s="95"/>
      <c r="AC209" s="95"/>
      <c r="AE209" s="127"/>
    </row>
    <row r="210" spans="19:31" ht="12" customHeight="1" x14ac:dyDescent="0.2">
      <c r="S210" s="107"/>
      <c r="T210" s="107"/>
      <c r="U210" s="95"/>
      <c r="V210" s="95"/>
      <c r="W210" s="95"/>
      <c r="X210" s="95"/>
      <c r="Y210" s="95"/>
      <c r="Z210" s="95"/>
      <c r="AA210" s="95"/>
      <c r="AB210" s="95"/>
      <c r="AC210" s="95"/>
      <c r="AD210" s="108"/>
      <c r="AE210" s="127"/>
    </row>
    <row r="211" spans="19:31" ht="12" customHeight="1" x14ac:dyDescent="0.2">
      <c r="S211" s="107"/>
      <c r="T211" s="107"/>
      <c r="U211" s="95"/>
      <c r="V211" s="95"/>
      <c r="W211" s="95"/>
      <c r="X211" s="95"/>
      <c r="Y211" s="95"/>
      <c r="Z211" s="95"/>
      <c r="AA211" s="95"/>
      <c r="AB211" s="95"/>
      <c r="AC211" s="95"/>
      <c r="AE211" s="127"/>
    </row>
    <row r="212" spans="19:31" ht="12" customHeight="1" x14ac:dyDescent="0.2">
      <c r="S212" s="107"/>
      <c r="T212" s="107"/>
      <c r="U212" s="95"/>
      <c r="V212" s="95"/>
      <c r="W212" s="95"/>
      <c r="X212" s="95"/>
      <c r="Y212" s="95"/>
      <c r="Z212" s="95"/>
      <c r="AA212" s="95"/>
      <c r="AB212" s="95"/>
      <c r="AC212" s="95"/>
      <c r="AD212" s="108"/>
      <c r="AE212" s="127"/>
    </row>
    <row r="213" spans="19:31" ht="12" customHeight="1" x14ac:dyDescent="0.2">
      <c r="S213" s="107"/>
      <c r="T213" s="107"/>
      <c r="U213" s="95"/>
      <c r="V213" s="95"/>
      <c r="W213" s="95"/>
      <c r="X213" s="95"/>
      <c r="Y213" s="95"/>
      <c r="Z213" s="95"/>
      <c r="AA213" s="95"/>
      <c r="AB213" s="95"/>
      <c r="AC213" s="95"/>
      <c r="AD213" s="108"/>
      <c r="AE213" s="127"/>
    </row>
    <row r="214" spans="19:31" ht="12" customHeight="1" x14ac:dyDescent="0.2">
      <c r="S214" s="107"/>
      <c r="T214" s="107"/>
      <c r="U214" s="95"/>
      <c r="V214" s="95"/>
      <c r="W214" s="95"/>
      <c r="X214" s="95"/>
      <c r="Y214" s="95"/>
      <c r="Z214" s="95"/>
      <c r="AA214" s="95"/>
      <c r="AB214" s="95"/>
      <c r="AC214" s="95"/>
      <c r="AE214" s="127"/>
    </row>
    <row r="215" spans="19:31" ht="12" customHeight="1" x14ac:dyDescent="0.2">
      <c r="S215" s="107"/>
      <c r="T215" s="107"/>
      <c r="U215" s="95"/>
      <c r="V215" s="95"/>
      <c r="W215" s="95"/>
      <c r="X215" s="95"/>
      <c r="Y215" s="95"/>
      <c r="Z215" s="95"/>
      <c r="AA215" s="95"/>
      <c r="AB215" s="95"/>
      <c r="AC215" s="95"/>
      <c r="AD215" s="108"/>
      <c r="AE215" s="127"/>
    </row>
    <row r="216" spans="19:31" ht="12" customHeight="1" x14ac:dyDescent="0.2">
      <c r="S216" s="107"/>
      <c r="T216" s="107"/>
      <c r="U216" s="95"/>
      <c r="V216" s="95"/>
      <c r="W216" s="95"/>
      <c r="X216" s="95"/>
      <c r="Y216" s="95"/>
      <c r="Z216" s="95"/>
      <c r="AA216" s="95"/>
      <c r="AB216" s="95"/>
      <c r="AC216" s="95"/>
      <c r="AD216" s="108"/>
      <c r="AE216" s="127"/>
    </row>
    <row r="217" spans="19:31" ht="12" customHeight="1" x14ac:dyDescent="0.2">
      <c r="S217" s="107"/>
      <c r="T217" s="107"/>
      <c r="U217" s="95"/>
      <c r="V217" s="95"/>
      <c r="W217" s="95"/>
      <c r="X217" s="95"/>
      <c r="Y217" s="95"/>
      <c r="Z217" s="95"/>
      <c r="AA217" s="95"/>
      <c r="AB217" s="95"/>
      <c r="AC217" s="95"/>
      <c r="AE217" s="127"/>
    </row>
    <row r="218" spans="19:31" ht="12" customHeight="1" x14ac:dyDescent="0.2">
      <c r="S218" s="107"/>
      <c r="T218" s="107"/>
      <c r="U218" s="95"/>
      <c r="V218" s="95"/>
      <c r="W218" s="95"/>
      <c r="X218" s="95"/>
      <c r="Y218" s="95"/>
      <c r="Z218" s="95"/>
      <c r="AA218" s="95"/>
      <c r="AB218" s="95"/>
      <c r="AC218" s="95"/>
      <c r="AE218" s="127"/>
    </row>
    <row r="219" spans="19:31" ht="12" customHeight="1" x14ac:dyDescent="0.2">
      <c r="U219" s="95"/>
      <c r="V219" s="95"/>
      <c r="W219" s="95"/>
      <c r="X219" s="95"/>
      <c r="Y219" s="95"/>
      <c r="Z219" s="95"/>
      <c r="AA219" s="95"/>
      <c r="AB219" s="95"/>
      <c r="AC219" s="95"/>
      <c r="AE219" s="127"/>
    </row>
    <row r="220" spans="19:31" ht="12" customHeight="1" x14ac:dyDescent="0.2">
      <c r="S220" s="107"/>
      <c r="T220" s="107"/>
      <c r="U220" s="95"/>
      <c r="V220" s="95"/>
      <c r="W220" s="95"/>
      <c r="X220" s="95"/>
      <c r="Y220" s="95"/>
      <c r="Z220" s="95"/>
      <c r="AA220" s="95"/>
      <c r="AB220" s="95"/>
      <c r="AC220" s="95"/>
      <c r="AD220" s="108"/>
      <c r="AE220" s="127"/>
    </row>
    <row r="221" spans="19:31" ht="12" customHeight="1" x14ac:dyDescent="0.2">
      <c r="S221" s="107"/>
      <c r="T221" s="107"/>
      <c r="U221" s="95"/>
      <c r="V221" s="95"/>
      <c r="W221" s="95"/>
      <c r="X221" s="95"/>
      <c r="Y221" s="95"/>
      <c r="Z221" s="95"/>
      <c r="AA221" s="95"/>
      <c r="AB221" s="95"/>
      <c r="AC221" s="95"/>
      <c r="AD221" s="108"/>
      <c r="AE221" s="127"/>
    </row>
    <row r="222" spans="19:31" ht="12" customHeight="1" x14ac:dyDescent="0.2">
      <c r="S222" s="107"/>
      <c r="T222" s="107"/>
      <c r="U222" s="95"/>
      <c r="V222" s="95"/>
      <c r="W222" s="95"/>
      <c r="X222" s="95"/>
      <c r="Y222" s="95"/>
      <c r="Z222" s="95"/>
      <c r="AA222" s="95"/>
      <c r="AB222" s="95"/>
      <c r="AC222" s="95"/>
      <c r="AD222" s="108"/>
      <c r="AE222" s="127"/>
    </row>
    <row r="223" spans="19:31" ht="12" customHeight="1" x14ac:dyDescent="0.2">
      <c r="U223" s="95"/>
      <c r="V223" s="95"/>
      <c r="W223" s="95"/>
      <c r="X223" s="95"/>
      <c r="Y223" s="95"/>
      <c r="Z223" s="95"/>
      <c r="AA223" s="95"/>
      <c r="AB223" s="95"/>
      <c r="AC223" s="95"/>
      <c r="AE223" s="127"/>
    </row>
    <row r="224" spans="19:31" ht="12" customHeight="1" x14ac:dyDescent="0.2">
      <c r="S224" s="107"/>
      <c r="T224" s="107"/>
      <c r="U224" s="95"/>
      <c r="V224" s="95"/>
      <c r="W224" s="95"/>
      <c r="X224" s="95"/>
      <c r="Y224" s="95"/>
      <c r="Z224" s="95"/>
      <c r="AA224" s="95"/>
      <c r="AB224" s="95"/>
      <c r="AC224" s="95"/>
      <c r="AD224" s="108"/>
      <c r="AE224" s="127"/>
    </row>
    <row r="225" spans="1:31" ht="12" customHeight="1" x14ac:dyDescent="0.2">
      <c r="S225" s="107"/>
      <c r="T225" s="107"/>
      <c r="U225" s="95"/>
      <c r="V225" s="95"/>
      <c r="W225" s="95"/>
      <c r="X225" s="95"/>
      <c r="Y225" s="95"/>
      <c r="Z225" s="95"/>
      <c r="AA225" s="95"/>
      <c r="AB225" s="95"/>
      <c r="AC225" s="95"/>
      <c r="AD225" s="108"/>
      <c r="AE225" s="127"/>
    </row>
    <row r="226" spans="1:31" ht="12" customHeight="1" x14ac:dyDescent="0.2">
      <c r="S226" s="107"/>
      <c r="T226" s="107"/>
      <c r="U226" s="95"/>
      <c r="V226" s="95"/>
      <c r="W226" s="95"/>
      <c r="X226" s="95"/>
      <c r="Y226" s="95"/>
      <c r="Z226" s="95"/>
      <c r="AA226" s="95"/>
      <c r="AB226" s="95"/>
      <c r="AC226" s="95"/>
      <c r="AD226" s="108"/>
      <c r="AE226" s="127"/>
    </row>
    <row r="227" spans="1:31" ht="12" customHeight="1" x14ac:dyDescent="0.2">
      <c r="S227" s="107"/>
      <c r="T227" s="107"/>
      <c r="U227" s="95"/>
      <c r="V227" s="95"/>
      <c r="W227" s="95"/>
      <c r="X227" s="95"/>
      <c r="Y227" s="95"/>
      <c r="Z227" s="95"/>
      <c r="AA227" s="95"/>
      <c r="AB227" s="95"/>
      <c r="AC227" s="95"/>
      <c r="AD227" s="108"/>
      <c r="AE227" s="127"/>
    </row>
    <row r="228" spans="1:31" ht="12" customHeight="1" x14ac:dyDescent="0.2">
      <c r="S228" s="107"/>
      <c r="T228" s="107"/>
      <c r="U228" s="95"/>
      <c r="V228" s="95"/>
      <c r="W228" s="95"/>
      <c r="X228" s="95"/>
      <c r="Y228" s="95"/>
      <c r="Z228" s="95"/>
      <c r="AA228" s="95"/>
      <c r="AB228" s="95"/>
      <c r="AC228" s="95"/>
      <c r="AE228" s="127"/>
    </row>
    <row r="229" spans="1:31" s="99" customFormat="1" ht="12" customHeight="1" x14ac:dyDescent="0.2">
      <c r="A229" s="75"/>
      <c r="B229" s="75"/>
      <c r="C229" s="75"/>
      <c r="D229" s="75"/>
      <c r="E229" s="75"/>
      <c r="F229" s="75"/>
      <c r="G229" s="75"/>
      <c r="H229" s="75"/>
      <c r="I229" s="75"/>
      <c r="J229" s="75"/>
      <c r="K229" s="75"/>
      <c r="L229" s="75"/>
      <c r="M229" s="75"/>
      <c r="N229" s="75"/>
      <c r="O229" s="75"/>
      <c r="P229" s="75"/>
      <c r="Q229" s="75"/>
      <c r="S229" s="107"/>
      <c r="T229" s="107"/>
      <c r="U229" s="95"/>
      <c r="V229" s="95"/>
      <c r="W229" s="95"/>
      <c r="X229" s="95"/>
      <c r="Y229" s="95"/>
      <c r="Z229" s="95"/>
      <c r="AA229" s="95"/>
      <c r="AB229" s="95"/>
      <c r="AC229" s="95"/>
      <c r="AD229" s="108"/>
      <c r="AE229" s="127"/>
    </row>
    <row r="230" spans="1:31" s="99" customFormat="1" ht="12" customHeight="1" x14ac:dyDescent="0.2">
      <c r="A230" s="75"/>
      <c r="B230" s="75"/>
      <c r="C230" s="75"/>
      <c r="D230" s="75"/>
      <c r="E230" s="75"/>
      <c r="F230" s="75"/>
      <c r="G230" s="75"/>
      <c r="H230" s="75"/>
      <c r="I230" s="75"/>
      <c r="J230" s="75"/>
      <c r="K230" s="75"/>
      <c r="L230" s="75"/>
      <c r="M230" s="75"/>
      <c r="N230" s="75"/>
      <c r="O230" s="75"/>
      <c r="P230" s="75"/>
      <c r="Q230" s="75"/>
      <c r="S230" s="107"/>
      <c r="T230" s="107"/>
      <c r="U230" s="95"/>
      <c r="V230" s="95"/>
      <c r="W230" s="95"/>
      <c r="X230" s="95"/>
      <c r="Y230" s="95"/>
      <c r="Z230" s="95"/>
      <c r="AA230" s="95"/>
      <c r="AB230" s="95"/>
      <c r="AC230" s="95"/>
      <c r="AD230" s="108"/>
      <c r="AE230" s="127"/>
    </row>
    <row r="231" spans="1:31" s="99" customFormat="1" ht="12" customHeight="1" x14ac:dyDescent="0.2">
      <c r="A231" s="75"/>
      <c r="B231" s="75"/>
      <c r="C231" s="75"/>
      <c r="D231" s="75"/>
      <c r="E231" s="75"/>
      <c r="F231" s="75"/>
      <c r="G231" s="75"/>
      <c r="H231" s="75"/>
      <c r="I231" s="75"/>
      <c r="J231" s="75"/>
      <c r="K231" s="75"/>
      <c r="L231" s="75"/>
      <c r="M231" s="75"/>
      <c r="N231" s="75"/>
      <c r="O231" s="75"/>
      <c r="P231" s="75"/>
      <c r="Q231" s="75"/>
      <c r="S231" s="107"/>
      <c r="T231" s="107"/>
      <c r="U231" s="95"/>
      <c r="V231" s="95"/>
      <c r="W231" s="95"/>
      <c r="X231" s="95"/>
      <c r="Y231" s="95"/>
      <c r="Z231" s="95"/>
      <c r="AA231" s="95"/>
      <c r="AB231" s="95"/>
      <c r="AC231" s="95"/>
      <c r="AD231" s="108"/>
      <c r="AE231" s="127"/>
    </row>
    <row r="232" spans="1:31" s="99" customFormat="1" ht="12" customHeight="1" x14ac:dyDescent="0.2">
      <c r="A232" s="75"/>
      <c r="B232" s="75"/>
      <c r="C232" s="75"/>
      <c r="D232" s="75"/>
      <c r="E232" s="75"/>
      <c r="F232" s="75"/>
      <c r="G232" s="75"/>
      <c r="H232" s="75"/>
      <c r="I232" s="75"/>
      <c r="J232" s="75"/>
      <c r="K232" s="75"/>
      <c r="L232" s="75"/>
      <c r="M232" s="75"/>
      <c r="N232" s="75"/>
      <c r="O232" s="75"/>
      <c r="P232" s="75"/>
      <c r="Q232" s="75"/>
      <c r="S232" s="107"/>
      <c r="T232" s="107"/>
      <c r="U232" s="95"/>
      <c r="V232" s="95"/>
      <c r="W232" s="95"/>
      <c r="X232" s="95"/>
      <c r="Y232" s="95"/>
      <c r="Z232" s="95"/>
      <c r="AA232" s="95"/>
      <c r="AB232" s="95"/>
      <c r="AC232" s="95"/>
      <c r="AD232" s="109"/>
      <c r="AE232" s="127"/>
    </row>
    <row r="233" spans="1:31" s="99" customFormat="1" ht="12" customHeight="1" x14ac:dyDescent="0.2">
      <c r="A233" s="75"/>
      <c r="B233" s="75"/>
      <c r="C233" s="75"/>
      <c r="D233" s="75"/>
      <c r="E233" s="75"/>
      <c r="F233" s="75"/>
      <c r="G233" s="75"/>
      <c r="H233" s="75"/>
      <c r="I233" s="75"/>
      <c r="J233" s="75"/>
      <c r="K233" s="75"/>
      <c r="L233" s="75"/>
      <c r="M233" s="75"/>
      <c r="N233" s="75"/>
      <c r="O233" s="75"/>
      <c r="P233" s="75"/>
      <c r="Q233" s="75"/>
      <c r="S233" s="107"/>
      <c r="T233" s="107"/>
      <c r="U233" s="95"/>
      <c r="V233" s="95"/>
      <c r="W233" s="95"/>
      <c r="X233" s="95"/>
      <c r="Y233" s="95"/>
      <c r="Z233" s="95"/>
      <c r="AA233" s="95"/>
      <c r="AB233" s="95"/>
      <c r="AC233" s="95"/>
      <c r="AD233" s="108"/>
      <c r="AE233" s="127"/>
    </row>
    <row r="234" spans="1:31" s="99" customFormat="1" ht="12" customHeight="1" x14ac:dyDescent="0.2">
      <c r="A234" s="75"/>
      <c r="B234" s="75"/>
      <c r="C234" s="75"/>
      <c r="D234" s="75"/>
      <c r="E234" s="75"/>
      <c r="F234" s="75"/>
      <c r="G234" s="75"/>
      <c r="H234" s="75"/>
      <c r="I234" s="75"/>
      <c r="J234" s="75"/>
      <c r="K234" s="75"/>
      <c r="L234" s="75"/>
      <c r="M234" s="75"/>
      <c r="N234" s="75"/>
      <c r="O234" s="75"/>
      <c r="P234" s="75"/>
      <c r="Q234" s="75"/>
      <c r="S234" s="107"/>
      <c r="T234" s="107"/>
      <c r="U234" s="95"/>
      <c r="V234" s="95"/>
      <c r="W234" s="95"/>
      <c r="X234" s="95"/>
      <c r="Y234" s="95"/>
      <c r="Z234" s="95"/>
      <c r="AA234" s="95"/>
      <c r="AB234" s="95"/>
      <c r="AC234" s="95"/>
      <c r="AD234" s="108"/>
      <c r="AE234" s="127"/>
    </row>
    <row r="235" spans="1:31" s="100" customFormat="1" ht="12" customHeight="1" x14ac:dyDescent="0.2">
      <c r="A235" s="77"/>
      <c r="B235" s="77"/>
      <c r="C235" s="77"/>
      <c r="D235" s="77"/>
      <c r="E235" s="77"/>
      <c r="F235" s="77"/>
      <c r="G235" s="77"/>
      <c r="H235" s="77"/>
      <c r="I235" s="77"/>
      <c r="J235" s="77"/>
      <c r="K235" s="77"/>
      <c r="L235" s="77"/>
      <c r="M235" s="77"/>
      <c r="N235" s="77"/>
      <c r="O235" s="77"/>
      <c r="P235" s="77"/>
      <c r="Q235" s="77"/>
      <c r="S235" s="107"/>
      <c r="T235" s="107"/>
      <c r="U235" s="95"/>
      <c r="V235" s="95"/>
      <c r="W235" s="95"/>
      <c r="X235" s="95"/>
      <c r="Y235" s="95"/>
      <c r="Z235" s="95"/>
      <c r="AA235" s="95"/>
      <c r="AB235" s="95"/>
      <c r="AC235" s="95"/>
      <c r="AD235" s="108"/>
      <c r="AE235" s="127"/>
    </row>
    <row r="236" spans="1:31" s="99" customFormat="1" ht="12" customHeight="1" x14ac:dyDescent="0.2">
      <c r="A236" s="75"/>
      <c r="B236" s="75"/>
      <c r="C236" s="75"/>
      <c r="D236" s="75"/>
      <c r="E236" s="75"/>
      <c r="F236" s="75"/>
      <c r="G236" s="75"/>
      <c r="H236" s="75"/>
      <c r="I236" s="75"/>
      <c r="J236" s="75"/>
      <c r="K236" s="75"/>
      <c r="L236" s="75"/>
      <c r="M236" s="75"/>
      <c r="N236" s="75"/>
      <c r="O236" s="75"/>
      <c r="P236" s="75"/>
      <c r="Q236" s="75"/>
      <c r="S236" s="107"/>
      <c r="T236" s="107"/>
      <c r="U236" s="95"/>
      <c r="V236" s="95"/>
      <c r="W236" s="95"/>
      <c r="X236" s="95"/>
      <c r="Y236" s="95"/>
      <c r="Z236" s="95"/>
      <c r="AA236" s="95"/>
      <c r="AB236" s="95"/>
      <c r="AC236" s="95"/>
      <c r="AD236" s="108"/>
      <c r="AE236" s="127"/>
    </row>
    <row r="237" spans="1:31" ht="12" customHeight="1" x14ac:dyDescent="0.2">
      <c r="U237" s="95"/>
      <c r="V237" s="95"/>
      <c r="W237" s="95"/>
      <c r="X237" s="95"/>
      <c r="Y237" s="95"/>
      <c r="Z237" s="95"/>
      <c r="AA237" s="95"/>
      <c r="AB237" s="95"/>
      <c r="AC237" s="95"/>
      <c r="AE237" s="127"/>
    </row>
    <row r="238" spans="1:31" ht="12" customHeight="1" x14ac:dyDescent="0.2">
      <c r="S238" s="107"/>
      <c r="T238" s="107"/>
      <c r="U238" s="95"/>
      <c r="V238" s="95"/>
      <c r="W238" s="95"/>
      <c r="X238" s="95"/>
      <c r="Y238" s="95"/>
      <c r="Z238" s="95"/>
      <c r="AA238" s="95"/>
      <c r="AB238" s="95"/>
      <c r="AC238" s="95"/>
      <c r="AD238" s="108"/>
      <c r="AE238" s="127"/>
    </row>
    <row r="239" spans="1:31" ht="12" customHeight="1" x14ac:dyDescent="0.2">
      <c r="S239" s="107"/>
      <c r="T239" s="107"/>
      <c r="U239" s="95"/>
      <c r="V239" s="95"/>
      <c r="W239" s="95"/>
      <c r="X239" s="95"/>
      <c r="Y239" s="95"/>
      <c r="Z239" s="95"/>
      <c r="AA239" s="95"/>
      <c r="AB239" s="95"/>
      <c r="AC239" s="95"/>
      <c r="AD239" s="108"/>
      <c r="AE239" s="127"/>
    </row>
    <row r="240" spans="1:31" ht="12" customHeight="1" x14ac:dyDescent="0.2">
      <c r="S240" s="107"/>
      <c r="T240" s="107"/>
      <c r="U240" s="95"/>
      <c r="V240" s="95"/>
      <c r="W240" s="95"/>
      <c r="X240" s="95"/>
      <c r="Y240" s="95"/>
      <c r="Z240" s="95"/>
      <c r="AA240" s="95"/>
      <c r="AB240" s="95"/>
      <c r="AC240" s="95"/>
      <c r="AE240" s="127"/>
    </row>
    <row r="241" spans="1:31" ht="12" customHeight="1" x14ac:dyDescent="0.2">
      <c r="S241" s="107"/>
      <c r="T241" s="107"/>
      <c r="U241" s="95"/>
      <c r="V241" s="95"/>
      <c r="W241" s="95"/>
      <c r="X241" s="95"/>
      <c r="Y241" s="95"/>
      <c r="Z241" s="95"/>
      <c r="AA241" s="95"/>
      <c r="AB241" s="95"/>
      <c r="AC241" s="95"/>
      <c r="AD241" s="108"/>
      <c r="AE241" s="127"/>
    </row>
    <row r="242" spans="1:31" ht="12" customHeight="1" x14ac:dyDescent="0.2">
      <c r="S242" s="107"/>
      <c r="T242" s="107"/>
      <c r="U242" s="95"/>
      <c r="V242" s="95"/>
      <c r="W242" s="95"/>
      <c r="X242" s="95"/>
      <c r="Y242" s="95"/>
      <c r="Z242" s="95"/>
      <c r="AA242" s="95"/>
      <c r="AB242" s="95"/>
      <c r="AC242" s="95"/>
      <c r="AD242" s="108"/>
      <c r="AE242" s="127"/>
    </row>
    <row r="243" spans="1:31" ht="12" customHeight="1" x14ac:dyDescent="0.2">
      <c r="S243" s="107"/>
      <c r="T243" s="107"/>
      <c r="U243" s="95"/>
      <c r="V243" s="95"/>
      <c r="W243" s="95"/>
      <c r="X243" s="95"/>
      <c r="Y243" s="95"/>
      <c r="Z243" s="95"/>
      <c r="AA243" s="95"/>
      <c r="AB243" s="95"/>
      <c r="AC243" s="95"/>
      <c r="AD243" s="108"/>
      <c r="AE243" s="127"/>
    </row>
    <row r="244" spans="1:31" ht="12" customHeight="1" x14ac:dyDescent="0.2">
      <c r="S244" s="107"/>
      <c r="T244" s="107"/>
      <c r="U244" s="95"/>
      <c r="V244" s="95"/>
      <c r="W244" s="95"/>
      <c r="X244" s="95"/>
      <c r="Y244" s="95"/>
      <c r="Z244" s="95"/>
      <c r="AA244" s="95"/>
      <c r="AB244" s="95"/>
      <c r="AC244" s="95"/>
      <c r="AE244" s="127"/>
    </row>
    <row r="245" spans="1:31" s="98" customFormat="1" ht="12" customHeight="1" x14ac:dyDescent="0.2">
      <c r="A245" s="75"/>
      <c r="B245" s="75"/>
      <c r="C245" s="75"/>
      <c r="D245" s="75"/>
      <c r="E245" s="75"/>
      <c r="F245" s="75"/>
      <c r="G245" s="75"/>
      <c r="H245" s="75"/>
      <c r="I245" s="75"/>
      <c r="J245" s="75"/>
      <c r="K245" s="75"/>
      <c r="L245" s="75"/>
      <c r="M245" s="75"/>
      <c r="N245" s="75"/>
      <c r="O245" s="75"/>
      <c r="P245" s="75"/>
      <c r="Q245" s="75"/>
      <c r="S245" s="107"/>
      <c r="T245" s="107"/>
      <c r="U245" s="95"/>
      <c r="V245" s="95"/>
      <c r="W245" s="95"/>
      <c r="X245" s="95"/>
      <c r="Y245" s="95"/>
      <c r="Z245" s="95"/>
      <c r="AA245" s="95"/>
      <c r="AB245" s="95"/>
      <c r="AC245" s="95"/>
      <c r="AD245" s="109"/>
      <c r="AE245" s="127"/>
    </row>
    <row r="246" spans="1:31" ht="12" customHeight="1" x14ac:dyDescent="0.2">
      <c r="S246" s="107"/>
      <c r="T246" s="107"/>
      <c r="U246" s="95"/>
      <c r="V246" s="95"/>
      <c r="W246" s="95"/>
      <c r="X246" s="95"/>
      <c r="Y246" s="95"/>
      <c r="Z246" s="95"/>
      <c r="AA246" s="95"/>
      <c r="AB246" s="95"/>
      <c r="AC246" s="95"/>
      <c r="AE246" s="127"/>
    </row>
    <row r="247" spans="1:31" ht="12" customHeight="1" x14ac:dyDescent="0.2">
      <c r="S247" s="107"/>
      <c r="T247" s="107"/>
      <c r="U247" s="95"/>
      <c r="V247" s="95"/>
      <c r="W247" s="95"/>
      <c r="X247" s="95"/>
      <c r="Y247" s="95"/>
      <c r="Z247" s="95"/>
      <c r="AA247" s="95"/>
      <c r="AB247" s="95"/>
      <c r="AC247" s="95"/>
      <c r="AE247" s="127"/>
    </row>
    <row r="248" spans="1:31" ht="12" customHeight="1" x14ac:dyDescent="0.2">
      <c r="U248" s="95"/>
      <c r="V248" s="95"/>
      <c r="W248" s="95"/>
      <c r="X248" s="95"/>
      <c r="Y248" s="95"/>
      <c r="Z248" s="95"/>
      <c r="AA248" s="95"/>
      <c r="AB248" s="95"/>
      <c r="AC248" s="95"/>
      <c r="AE248" s="127"/>
    </row>
    <row r="249" spans="1:31" ht="12" customHeight="1" x14ac:dyDescent="0.2">
      <c r="S249" s="107"/>
      <c r="T249" s="107"/>
      <c r="U249" s="95"/>
      <c r="V249" s="95"/>
      <c r="W249" s="95"/>
      <c r="X249" s="95"/>
      <c r="Y249" s="95"/>
      <c r="Z249" s="95"/>
      <c r="AA249" s="95"/>
      <c r="AB249" s="95"/>
      <c r="AC249" s="95"/>
      <c r="AD249" s="108"/>
      <c r="AE249" s="127"/>
    </row>
    <row r="250" spans="1:31" ht="12" customHeight="1" x14ac:dyDescent="0.2">
      <c r="S250" s="107"/>
      <c r="T250" s="107"/>
      <c r="U250" s="95"/>
      <c r="V250" s="95"/>
      <c r="W250" s="95"/>
      <c r="X250" s="95"/>
      <c r="Y250" s="95"/>
      <c r="Z250" s="95"/>
      <c r="AA250" s="95"/>
      <c r="AB250" s="95"/>
      <c r="AC250" s="95"/>
      <c r="AE250" s="127"/>
    </row>
    <row r="251" spans="1:31" ht="12" customHeight="1" x14ac:dyDescent="0.2">
      <c r="S251" s="107"/>
      <c r="T251" s="107"/>
      <c r="U251" s="95"/>
      <c r="V251" s="95"/>
      <c r="W251" s="95"/>
      <c r="X251" s="95"/>
      <c r="Y251" s="95"/>
      <c r="Z251" s="95"/>
      <c r="AA251" s="95"/>
      <c r="AB251" s="95"/>
      <c r="AC251" s="95"/>
      <c r="AE251" s="127"/>
    </row>
    <row r="252" spans="1:31" ht="12" customHeight="1" x14ac:dyDescent="0.2">
      <c r="S252" s="107"/>
      <c r="T252" s="107"/>
      <c r="U252" s="95"/>
      <c r="V252" s="95"/>
      <c r="W252" s="95"/>
      <c r="X252" s="95"/>
      <c r="Y252" s="95"/>
      <c r="Z252" s="95"/>
      <c r="AA252" s="95"/>
      <c r="AB252" s="95"/>
      <c r="AC252" s="95"/>
      <c r="AE252" s="127"/>
    </row>
    <row r="253" spans="1:31" ht="12" customHeight="1" x14ac:dyDescent="0.2">
      <c r="S253" s="93"/>
      <c r="U253" s="95"/>
      <c r="V253" s="95"/>
      <c r="W253" s="95"/>
      <c r="X253" s="95"/>
      <c r="Y253" s="95"/>
      <c r="Z253" s="95"/>
      <c r="AA253" s="95"/>
      <c r="AB253" s="95"/>
      <c r="AC253" s="95"/>
      <c r="AE253" s="127"/>
    </row>
    <row r="254" spans="1:31" ht="12" customHeight="1" x14ac:dyDescent="0.2">
      <c r="S254" s="107"/>
      <c r="T254" s="107"/>
      <c r="U254" s="95"/>
      <c r="V254" s="95"/>
      <c r="W254" s="95"/>
      <c r="X254" s="95"/>
      <c r="Y254" s="95"/>
      <c r="Z254" s="95"/>
      <c r="AA254" s="95"/>
      <c r="AB254" s="95"/>
      <c r="AC254" s="95"/>
      <c r="AD254" s="108"/>
      <c r="AE254" s="127"/>
    </row>
    <row r="255" spans="1:31" ht="12" customHeight="1" x14ac:dyDescent="0.2">
      <c r="S255" s="107"/>
      <c r="T255" s="107"/>
      <c r="U255" s="95"/>
      <c r="V255" s="95"/>
      <c r="W255" s="95"/>
      <c r="X255" s="95"/>
      <c r="Y255" s="95"/>
      <c r="Z255" s="95"/>
      <c r="AA255" s="95"/>
      <c r="AB255" s="95"/>
      <c r="AC255" s="95"/>
      <c r="AD255" s="108"/>
      <c r="AE255" s="127"/>
    </row>
    <row r="256" spans="1:31" ht="12" customHeight="1" x14ac:dyDescent="0.2">
      <c r="S256" s="107"/>
      <c r="T256" s="107"/>
      <c r="U256" s="95"/>
      <c r="V256" s="95"/>
      <c r="W256" s="95"/>
      <c r="X256" s="95"/>
      <c r="Y256" s="95"/>
      <c r="Z256" s="95"/>
      <c r="AA256" s="95"/>
      <c r="AB256" s="95"/>
      <c r="AC256" s="95"/>
      <c r="AD256" s="108"/>
      <c r="AE256" s="127"/>
    </row>
    <row r="257" spans="19:31" ht="12" customHeight="1" x14ac:dyDescent="0.2">
      <c r="S257" s="107"/>
      <c r="T257" s="107"/>
      <c r="U257" s="95"/>
      <c r="V257" s="95"/>
      <c r="W257" s="95"/>
      <c r="X257" s="95"/>
      <c r="Y257" s="95"/>
      <c r="Z257" s="95"/>
      <c r="AA257" s="95"/>
      <c r="AB257" s="95"/>
      <c r="AC257" s="95"/>
      <c r="AE257" s="127"/>
    </row>
    <row r="258" spans="19:31" ht="12" customHeight="1" x14ac:dyDescent="0.2">
      <c r="S258" s="107"/>
      <c r="T258" s="107"/>
      <c r="U258" s="95"/>
      <c r="V258" s="95"/>
      <c r="W258" s="95"/>
      <c r="X258" s="95"/>
      <c r="Y258" s="95"/>
      <c r="Z258" s="95"/>
      <c r="AA258" s="95"/>
      <c r="AB258" s="95"/>
      <c r="AC258" s="95"/>
      <c r="AD258" s="108"/>
      <c r="AE258" s="127"/>
    </row>
    <row r="259" spans="19:31" ht="12" customHeight="1" x14ac:dyDescent="0.2">
      <c r="S259" s="107"/>
      <c r="T259" s="107"/>
      <c r="U259" s="95"/>
      <c r="V259" s="95"/>
      <c r="W259" s="95"/>
      <c r="X259" s="95"/>
      <c r="Y259" s="95"/>
      <c r="Z259" s="95"/>
      <c r="AA259" s="95"/>
      <c r="AB259" s="95"/>
      <c r="AC259" s="95"/>
      <c r="AD259" s="108"/>
      <c r="AE259" s="127"/>
    </row>
    <row r="260" spans="19:31" ht="12" customHeight="1" x14ac:dyDescent="0.2">
      <c r="S260" s="107"/>
      <c r="T260" s="107"/>
      <c r="U260" s="95"/>
      <c r="V260" s="95"/>
      <c r="W260" s="95"/>
      <c r="X260" s="95"/>
      <c r="Y260" s="95"/>
      <c r="Z260" s="95"/>
      <c r="AA260" s="95"/>
      <c r="AB260" s="95"/>
      <c r="AC260" s="95"/>
      <c r="AD260" s="108"/>
      <c r="AE260" s="127"/>
    </row>
    <row r="261" spans="19:31" ht="12" customHeight="1" x14ac:dyDescent="0.2">
      <c r="S261" s="107"/>
      <c r="T261" s="107"/>
      <c r="U261" s="95"/>
      <c r="V261" s="95"/>
      <c r="W261" s="95"/>
      <c r="X261" s="95"/>
      <c r="Y261" s="95"/>
      <c r="Z261" s="95"/>
      <c r="AA261" s="95"/>
      <c r="AB261" s="95"/>
      <c r="AC261" s="95"/>
      <c r="AD261" s="108"/>
      <c r="AE261" s="127"/>
    </row>
    <row r="262" spans="19:31" ht="12" customHeight="1" x14ac:dyDescent="0.2">
      <c r="S262" s="107"/>
      <c r="T262" s="107"/>
      <c r="U262" s="95"/>
      <c r="V262" s="95"/>
      <c r="W262" s="95"/>
      <c r="X262" s="95"/>
      <c r="Y262" s="95"/>
      <c r="Z262" s="95"/>
      <c r="AA262" s="95"/>
      <c r="AB262" s="95"/>
      <c r="AC262" s="95"/>
      <c r="AE262" s="127"/>
    </row>
    <row r="263" spans="19:31" ht="12" customHeight="1" x14ac:dyDescent="0.2">
      <c r="S263" s="107"/>
      <c r="T263" s="107"/>
      <c r="U263" s="95"/>
      <c r="V263" s="95"/>
      <c r="W263" s="95"/>
      <c r="X263" s="95"/>
      <c r="Y263" s="95"/>
      <c r="Z263" s="95"/>
      <c r="AA263" s="95"/>
      <c r="AB263" s="95"/>
      <c r="AC263" s="95"/>
      <c r="AD263" s="108"/>
      <c r="AE263" s="127"/>
    </row>
    <row r="264" spans="19:31" ht="12" customHeight="1" x14ac:dyDescent="0.2">
      <c r="S264" s="107"/>
      <c r="T264" s="107"/>
      <c r="U264" s="95"/>
      <c r="V264" s="95"/>
      <c r="W264" s="95"/>
      <c r="X264" s="95"/>
      <c r="Y264" s="95"/>
      <c r="Z264" s="95"/>
      <c r="AA264" s="95"/>
      <c r="AB264" s="95"/>
      <c r="AC264" s="95"/>
      <c r="AD264" s="108"/>
      <c r="AE264" s="127"/>
    </row>
    <row r="265" spans="19:31" ht="12" customHeight="1" x14ac:dyDescent="0.2">
      <c r="S265" s="107"/>
      <c r="T265" s="107"/>
      <c r="U265" s="95"/>
      <c r="V265" s="95"/>
      <c r="W265" s="95"/>
      <c r="X265" s="95"/>
      <c r="Y265" s="95"/>
      <c r="Z265" s="95"/>
      <c r="AA265" s="95"/>
      <c r="AB265" s="95"/>
      <c r="AC265" s="95"/>
      <c r="AD265" s="108"/>
      <c r="AE265" s="127"/>
    </row>
    <row r="266" spans="19:31" ht="12" customHeight="1" x14ac:dyDescent="0.2">
      <c r="S266" s="107"/>
      <c r="T266" s="107"/>
      <c r="U266" s="95"/>
      <c r="V266" s="95"/>
      <c r="W266" s="95"/>
      <c r="X266" s="95"/>
      <c r="Y266" s="95"/>
      <c r="Z266" s="95"/>
      <c r="AA266" s="95"/>
      <c r="AB266" s="95"/>
      <c r="AC266" s="95"/>
      <c r="AD266" s="108"/>
      <c r="AE266" s="127"/>
    </row>
    <row r="267" spans="19:31" ht="12" customHeight="1" x14ac:dyDescent="0.2">
      <c r="S267" s="107"/>
      <c r="T267" s="107"/>
      <c r="U267" s="95"/>
      <c r="V267" s="95"/>
      <c r="W267" s="95"/>
      <c r="X267" s="95"/>
      <c r="Y267" s="95"/>
      <c r="Z267" s="95"/>
      <c r="AA267" s="95"/>
      <c r="AB267" s="95"/>
      <c r="AC267" s="95"/>
      <c r="AE267" s="127"/>
    </row>
    <row r="268" spans="19:31" ht="12" customHeight="1" x14ac:dyDescent="0.2">
      <c r="S268" s="107"/>
      <c r="T268" s="107"/>
      <c r="U268" s="95"/>
      <c r="V268" s="95"/>
      <c r="W268" s="95"/>
      <c r="X268" s="95"/>
      <c r="Y268" s="95"/>
      <c r="Z268" s="95"/>
      <c r="AA268" s="95"/>
      <c r="AB268" s="95"/>
      <c r="AC268" s="95"/>
      <c r="AD268" s="108"/>
      <c r="AE268" s="127"/>
    </row>
    <row r="269" spans="19:31" ht="12" customHeight="1" x14ac:dyDescent="0.2">
      <c r="S269" s="107"/>
      <c r="T269" s="107"/>
      <c r="U269" s="95"/>
      <c r="V269" s="95"/>
      <c r="W269" s="95"/>
      <c r="X269" s="95"/>
      <c r="Y269" s="95"/>
      <c r="Z269" s="95"/>
      <c r="AA269" s="95"/>
      <c r="AB269" s="95"/>
      <c r="AC269" s="95"/>
      <c r="AD269" s="108"/>
      <c r="AE269" s="127"/>
    </row>
    <row r="270" spans="19:31" ht="12" customHeight="1" x14ac:dyDescent="0.2">
      <c r="S270" s="107"/>
      <c r="T270" s="107"/>
      <c r="U270" s="95"/>
      <c r="V270" s="95"/>
      <c r="W270" s="95"/>
      <c r="X270" s="95"/>
      <c r="Y270" s="95"/>
      <c r="Z270" s="95"/>
      <c r="AA270" s="95"/>
      <c r="AB270" s="95"/>
      <c r="AC270" s="95"/>
      <c r="AD270" s="108"/>
      <c r="AE270" s="127"/>
    </row>
    <row r="271" spans="19:31" ht="12" customHeight="1" x14ac:dyDescent="0.2">
      <c r="S271" s="107"/>
      <c r="T271" s="107"/>
      <c r="U271" s="95"/>
      <c r="V271" s="95"/>
      <c r="W271" s="95"/>
      <c r="X271" s="95"/>
      <c r="Y271" s="95"/>
      <c r="Z271" s="95"/>
      <c r="AA271" s="95"/>
      <c r="AB271" s="95"/>
      <c r="AC271" s="95"/>
      <c r="AD271" s="108"/>
      <c r="AE271" s="127"/>
    </row>
    <row r="272" spans="19:31" ht="12" customHeight="1" x14ac:dyDescent="0.2">
      <c r="S272" s="107"/>
      <c r="T272" s="107"/>
      <c r="U272" s="95"/>
      <c r="V272" s="95"/>
      <c r="W272" s="95"/>
      <c r="X272" s="95"/>
      <c r="Y272" s="95"/>
      <c r="Z272" s="95"/>
      <c r="AA272" s="95"/>
      <c r="AB272" s="95"/>
      <c r="AC272" s="95"/>
      <c r="AE272" s="127"/>
    </row>
    <row r="273" spans="19:31" ht="12" customHeight="1" x14ac:dyDescent="0.2">
      <c r="S273" s="107"/>
      <c r="T273" s="107"/>
      <c r="U273" s="95"/>
      <c r="V273" s="95"/>
      <c r="W273" s="95"/>
      <c r="X273" s="95"/>
      <c r="Y273" s="95"/>
      <c r="Z273" s="95"/>
      <c r="AA273" s="95"/>
      <c r="AB273" s="95"/>
      <c r="AC273" s="95"/>
      <c r="AD273" s="108"/>
      <c r="AE273" s="127"/>
    </row>
    <row r="274" spans="19:31" ht="12" customHeight="1" x14ac:dyDescent="0.2">
      <c r="S274" s="107"/>
      <c r="T274" s="107"/>
      <c r="U274" s="95"/>
      <c r="V274" s="95"/>
      <c r="W274" s="95"/>
      <c r="X274" s="95"/>
      <c r="Y274" s="95"/>
      <c r="Z274" s="95"/>
      <c r="AA274" s="95"/>
      <c r="AB274" s="95"/>
      <c r="AC274" s="95"/>
      <c r="AD274" s="108"/>
      <c r="AE274" s="127"/>
    </row>
    <row r="275" spans="19:31" ht="12" customHeight="1" x14ac:dyDescent="0.2">
      <c r="S275" s="107"/>
      <c r="T275" s="107"/>
      <c r="U275" s="95"/>
      <c r="V275" s="95"/>
      <c r="W275" s="95"/>
      <c r="X275" s="95"/>
      <c r="Y275" s="95"/>
      <c r="Z275" s="95"/>
      <c r="AA275" s="95"/>
      <c r="AB275" s="95"/>
      <c r="AC275" s="95"/>
      <c r="AD275" s="108"/>
      <c r="AE275" s="127"/>
    </row>
    <row r="276" spans="19:31" ht="12" customHeight="1" x14ac:dyDescent="0.2">
      <c r="S276" s="107"/>
      <c r="T276" s="107"/>
      <c r="U276" s="95"/>
      <c r="V276" s="95"/>
      <c r="W276" s="95"/>
      <c r="X276" s="95"/>
      <c r="Y276" s="95"/>
      <c r="Z276" s="95"/>
      <c r="AA276" s="95"/>
      <c r="AB276" s="95"/>
      <c r="AC276" s="95"/>
      <c r="AD276" s="108"/>
      <c r="AE276" s="127"/>
    </row>
    <row r="277" spans="19:31" ht="12" customHeight="1" x14ac:dyDescent="0.2">
      <c r="S277" s="107"/>
      <c r="T277" s="107"/>
      <c r="U277" s="95"/>
      <c r="V277" s="95"/>
      <c r="W277" s="95"/>
      <c r="X277" s="95"/>
      <c r="Y277" s="95"/>
      <c r="Z277" s="95"/>
      <c r="AA277" s="95"/>
      <c r="AB277" s="95"/>
      <c r="AC277" s="95"/>
      <c r="AE277" s="127"/>
    </row>
    <row r="278" spans="19:31" ht="12" customHeight="1" x14ac:dyDescent="0.2">
      <c r="S278" s="107"/>
      <c r="T278" s="107"/>
      <c r="U278" s="95"/>
      <c r="V278" s="95"/>
      <c r="W278" s="95"/>
      <c r="X278" s="95"/>
      <c r="Y278" s="95"/>
      <c r="Z278" s="95"/>
      <c r="AA278" s="95"/>
      <c r="AB278" s="95"/>
      <c r="AC278" s="95"/>
      <c r="AD278" s="108"/>
      <c r="AE278" s="127"/>
    </row>
    <row r="279" spans="19:31" ht="12" customHeight="1" x14ac:dyDescent="0.2">
      <c r="S279" s="107"/>
      <c r="T279" s="107"/>
      <c r="U279" s="95"/>
      <c r="V279" s="95"/>
      <c r="W279" s="95"/>
      <c r="X279" s="95"/>
      <c r="Y279" s="95"/>
      <c r="Z279" s="95"/>
      <c r="AA279" s="95"/>
      <c r="AB279" s="95"/>
      <c r="AC279" s="95"/>
      <c r="AD279" s="108"/>
      <c r="AE279" s="127"/>
    </row>
    <row r="280" spans="19:31" ht="12" customHeight="1" x14ac:dyDescent="0.2">
      <c r="S280" s="107"/>
      <c r="T280" s="107"/>
      <c r="U280" s="95"/>
      <c r="V280" s="95"/>
      <c r="W280" s="95"/>
      <c r="X280" s="95"/>
      <c r="Y280" s="95"/>
      <c r="Z280" s="95"/>
      <c r="AA280" s="95"/>
      <c r="AB280" s="95"/>
      <c r="AC280" s="95"/>
      <c r="AD280" s="108"/>
      <c r="AE280" s="127"/>
    </row>
    <row r="281" spans="19:31" ht="12" customHeight="1" x14ac:dyDescent="0.2">
      <c r="S281" s="107"/>
      <c r="T281" s="107"/>
      <c r="U281" s="95"/>
      <c r="V281" s="95"/>
      <c r="W281" s="95"/>
      <c r="X281" s="95"/>
      <c r="Y281" s="95"/>
      <c r="Z281" s="95"/>
      <c r="AA281" s="95"/>
      <c r="AB281" s="95"/>
      <c r="AC281" s="95"/>
      <c r="AD281" s="108"/>
      <c r="AE281" s="127"/>
    </row>
    <row r="282" spans="19:31" ht="12" customHeight="1" x14ac:dyDescent="0.2">
      <c r="S282" s="107"/>
      <c r="T282" s="107"/>
      <c r="U282" s="95"/>
      <c r="V282" s="95"/>
      <c r="W282" s="95"/>
      <c r="X282" s="95"/>
      <c r="Y282" s="95"/>
      <c r="Z282" s="95"/>
      <c r="AA282" s="95"/>
      <c r="AB282" s="95"/>
      <c r="AC282" s="95"/>
      <c r="AD282" s="108"/>
      <c r="AE282" s="127"/>
    </row>
    <row r="283" spans="19:31" ht="12" customHeight="1" x14ac:dyDescent="0.2">
      <c r="S283" s="107"/>
      <c r="T283" s="107"/>
      <c r="U283" s="95"/>
      <c r="V283" s="95"/>
      <c r="W283" s="95"/>
      <c r="X283" s="95"/>
      <c r="Y283" s="95"/>
      <c r="Z283" s="95"/>
      <c r="AA283" s="95"/>
      <c r="AB283" s="95"/>
      <c r="AC283" s="95"/>
      <c r="AD283" s="108"/>
      <c r="AE283" s="127"/>
    </row>
    <row r="284" spans="19:31" ht="12" customHeight="1" x14ac:dyDescent="0.2">
      <c r="S284" s="107"/>
      <c r="T284" s="107"/>
      <c r="U284" s="95"/>
      <c r="V284" s="95"/>
      <c r="W284" s="95"/>
      <c r="X284" s="95"/>
      <c r="Y284" s="95"/>
      <c r="Z284" s="95"/>
      <c r="AA284" s="95"/>
      <c r="AB284" s="95"/>
      <c r="AC284" s="95"/>
      <c r="AE284" s="127"/>
    </row>
    <row r="285" spans="19:31" ht="12" customHeight="1" x14ac:dyDescent="0.2">
      <c r="S285" s="107"/>
      <c r="T285" s="107"/>
      <c r="U285" s="95"/>
      <c r="V285" s="95"/>
      <c r="W285" s="95"/>
      <c r="X285" s="95"/>
      <c r="Y285" s="95"/>
      <c r="Z285" s="95"/>
      <c r="AA285" s="95"/>
      <c r="AB285" s="95"/>
      <c r="AC285" s="95"/>
      <c r="AD285" s="108"/>
      <c r="AE285" s="127"/>
    </row>
    <row r="286" spans="19:31" ht="12" customHeight="1" x14ac:dyDescent="0.2">
      <c r="S286" s="107"/>
      <c r="T286" s="107"/>
      <c r="U286" s="95"/>
      <c r="V286" s="95"/>
      <c r="W286" s="95"/>
      <c r="X286" s="95"/>
      <c r="Y286" s="95"/>
      <c r="Z286" s="95"/>
      <c r="AA286" s="95"/>
      <c r="AB286" s="95"/>
      <c r="AC286" s="95"/>
      <c r="AD286" s="108"/>
      <c r="AE286" s="127"/>
    </row>
    <row r="287" spans="19:31" ht="12" customHeight="1" x14ac:dyDescent="0.2">
      <c r="S287" s="107"/>
      <c r="T287" s="107"/>
      <c r="U287" s="95"/>
      <c r="V287" s="95"/>
      <c r="W287" s="95"/>
      <c r="X287" s="95"/>
      <c r="Y287" s="95"/>
      <c r="Z287" s="95"/>
      <c r="AA287" s="95"/>
      <c r="AB287" s="95"/>
      <c r="AC287" s="95"/>
      <c r="AD287" s="108"/>
      <c r="AE287" s="127"/>
    </row>
    <row r="288" spans="19:31" ht="12" customHeight="1" x14ac:dyDescent="0.2">
      <c r="S288" s="107"/>
      <c r="T288" s="107"/>
      <c r="U288" s="95"/>
      <c r="V288" s="95"/>
      <c r="W288" s="95"/>
      <c r="X288" s="95"/>
      <c r="Y288" s="95"/>
      <c r="Z288" s="95"/>
      <c r="AA288" s="95"/>
      <c r="AB288" s="95"/>
      <c r="AC288" s="95"/>
      <c r="AE288" s="127"/>
    </row>
    <row r="289" spans="19:31" ht="12" customHeight="1" x14ac:dyDescent="0.2">
      <c r="S289" s="107"/>
      <c r="T289" s="107"/>
      <c r="U289" s="95"/>
      <c r="V289" s="95"/>
      <c r="W289" s="95"/>
      <c r="X289" s="95"/>
      <c r="Y289" s="95"/>
      <c r="Z289" s="95"/>
      <c r="AA289" s="95"/>
      <c r="AB289" s="95"/>
      <c r="AC289" s="95"/>
      <c r="AD289" s="108"/>
      <c r="AE289" s="127"/>
    </row>
    <row r="290" spans="19:31" ht="12" customHeight="1" x14ac:dyDescent="0.2">
      <c r="S290" s="107"/>
      <c r="T290" s="107"/>
      <c r="U290" s="95"/>
      <c r="V290" s="95"/>
      <c r="W290" s="95"/>
      <c r="X290" s="95"/>
      <c r="Y290" s="95"/>
      <c r="Z290" s="95"/>
      <c r="AA290" s="95"/>
      <c r="AB290" s="95"/>
      <c r="AC290" s="95"/>
      <c r="AD290" s="108"/>
      <c r="AE290" s="127"/>
    </row>
    <row r="291" spans="19:31" ht="12" customHeight="1" x14ac:dyDescent="0.2">
      <c r="S291" s="107"/>
      <c r="T291" s="107"/>
      <c r="U291" s="95"/>
      <c r="V291" s="95"/>
      <c r="W291" s="95"/>
      <c r="X291" s="95"/>
      <c r="Y291" s="95"/>
      <c r="Z291" s="95"/>
      <c r="AA291" s="95"/>
      <c r="AB291" s="95"/>
      <c r="AC291" s="95"/>
      <c r="AD291" s="108"/>
      <c r="AE291" s="127"/>
    </row>
    <row r="292" spans="19:31" ht="12" customHeight="1" x14ac:dyDescent="0.2">
      <c r="S292" s="107"/>
      <c r="T292" s="107"/>
      <c r="U292" s="95"/>
      <c r="V292" s="95"/>
      <c r="W292" s="95"/>
      <c r="X292" s="95"/>
      <c r="Y292" s="95"/>
      <c r="Z292" s="95"/>
      <c r="AA292" s="95"/>
      <c r="AB292" s="95"/>
      <c r="AC292" s="95"/>
      <c r="AD292" s="108"/>
      <c r="AE292" s="127"/>
    </row>
    <row r="293" spans="19:31" ht="12" customHeight="1" x14ac:dyDescent="0.2">
      <c r="S293" s="107"/>
      <c r="T293" s="107"/>
      <c r="U293" s="95"/>
      <c r="V293" s="95"/>
      <c r="W293" s="95"/>
      <c r="X293" s="95"/>
      <c r="Y293" s="95"/>
      <c r="Z293" s="95"/>
      <c r="AA293" s="95"/>
      <c r="AB293" s="95"/>
      <c r="AC293" s="95"/>
      <c r="AD293" s="108"/>
      <c r="AE293" s="127"/>
    </row>
    <row r="294" spans="19:31" ht="12" customHeight="1" x14ac:dyDescent="0.2">
      <c r="S294" s="107"/>
      <c r="T294" s="107"/>
      <c r="U294" s="95"/>
      <c r="V294" s="95"/>
      <c r="W294" s="95"/>
      <c r="X294" s="95"/>
      <c r="Y294" s="95"/>
      <c r="Z294" s="95"/>
      <c r="AA294" s="95"/>
      <c r="AB294" s="95"/>
      <c r="AC294" s="95"/>
      <c r="AD294" s="108"/>
      <c r="AE294" s="127"/>
    </row>
    <row r="295" spans="19:31" ht="12" customHeight="1" x14ac:dyDescent="0.2">
      <c r="S295" s="107"/>
      <c r="T295" s="107"/>
      <c r="U295" s="95"/>
      <c r="V295" s="95"/>
      <c r="W295" s="95"/>
      <c r="X295" s="95"/>
      <c r="Y295" s="95"/>
      <c r="Z295" s="95"/>
      <c r="AA295" s="95"/>
      <c r="AB295" s="95"/>
      <c r="AC295" s="95"/>
      <c r="AE295" s="127"/>
    </row>
    <row r="296" spans="19:31" ht="12" customHeight="1" x14ac:dyDescent="0.2">
      <c r="S296" s="107"/>
      <c r="T296" s="107"/>
      <c r="U296" s="95"/>
      <c r="V296" s="95"/>
      <c r="W296" s="95"/>
      <c r="X296" s="95"/>
      <c r="Y296" s="95"/>
      <c r="Z296" s="95"/>
      <c r="AA296" s="95"/>
      <c r="AB296" s="95"/>
      <c r="AC296" s="95"/>
      <c r="AD296" s="108"/>
      <c r="AE296" s="127"/>
    </row>
    <row r="297" spans="19:31" ht="12" customHeight="1" x14ac:dyDescent="0.2">
      <c r="S297" s="107"/>
      <c r="T297" s="107"/>
      <c r="U297" s="95"/>
      <c r="V297" s="95"/>
      <c r="W297" s="95"/>
      <c r="X297" s="95"/>
      <c r="Y297" s="95"/>
      <c r="Z297" s="95"/>
      <c r="AA297" s="95"/>
      <c r="AB297" s="95"/>
      <c r="AC297" s="95"/>
      <c r="AD297" s="108"/>
      <c r="AE297" s="127"/>
    </row>
    <row r="298" spans="19:31" ht="12" customHeight="1" x14ac:dyDescent="0.2">
      <c r="S298" s="107"/>
      <c r="T298" s="107"/>
      <c r="U298" s="95"/>
      <c r="V298" s="95"/>
      <c r="W298" s="95"/>
      <c r="X298" s="95"/>
      <c r="Y298" s="95"/>
      <c r="Z298" s="95"/>
      <c r="AA298" s="95"/>
      <c r="AB298" s="95"/>
      <c r="AC298" s="95"/>
      <c r="AE298" s="127"/>
    </row>
    <row r="299" spans="19:31" ht="12" customHeight="1" x14ac:dyDescent="0.2">
      <c r="S299" s="107"/>
      <c r="T299" s="107"/>
      <c r="U299" s="95"/>
      <c r="V299" s="95"/>
      <c r="W299" s="95"/>
      <c r="X299" s="95"/>
      <c r="Y299" s="95"/>
      <c r="Z299" s="95"/>
      <c r="AA299" s="95"/>
      <c r="AB299" s="95"/>
      <c r="AC299" s="95"/>
      <c r="AD299" s="108"/>
      <c r="AE299" s="127"/>
    </row>
    <row r="300" spans="19:31" ht="12" customHeight="1" x14ac:dyDescent="0.2">
      <c r="S300" s="107"/>
      <c r="T300" s="107"/>
      <c r="U300" s="95"/>
      <c r="V300" s="95"/>
      <c r="W300" s="95"/>
      <c r="X300" s="95"/>
      <c r="Y300" s="95"/>
      <c r="Z300" s="95"/>
      <c r="AA300" s="95"/>
      <c r="AB300" s="95"/>
      <c r="AC300" s="95"/>
      <c r="AD300" s="108"/>
      <c r="AE300" s="127"/>
    </row>
    <row r="301" spans="19:31" ht="12" customHeight="1" x14ac:dyDescent="0.2">
      <c r="S301" s="107"/>
      <c r="T301" s="107"/>
      <c r="U301" s="95"/>
      <c r="V301" s="95"/>
      <c r="W301" s="95"/>
      <c r="X301" s="95"/>
      <c r="Y301" s="95"/>
      <c r="Z301" s="95"/>
      <c r="AA301" s="95"/>
      <c r="AB301" s="95"/>
      <c r="AC301" s="95"/>
      <c r="AD301" s="108"/>
      <c r="AE301" s="127"/>
    </row>
    <row r="302" spans="19:31" ht="12" customHeight="1" x14ac:dyDescent="0.2">
      <c r="S302" s="107"/>
      <c r="T302" s="107"/>
      <c r="U302" s="95"/>
      <c r="V302" s="95"/>
      <c r="W302" s="95"/>
      <c r="X302" s="95"/>
      <c r="Y302" s="95"/>
      <c r="Z302" s="95"/>
      <c r="AA302" s="95"/>
      <c r="AB302" s="95"/>
      <c r="AC302" s="95"/>
      <c r="AE302" s="127"/>
    </row>
    <row r="303" spans="19:31" ht="12" customHeight="1" x14ac:dyDescent="0.2">
      <c r="S303" s="107"/>
      <c r="T303" s="107"/>
      <c r="U303" s="95"/>
      <c r="V303" s="95"/>
      <c r="W303" s="95"/>
      <c r="X303" s="95"/>
      <c r="Y303" s="95"/>
      <c r="Z303" s="95"/>
      <c r="AA303" s="95"/>
      <c r="AB303" s="95"/>
      <c r="AC303" s="95"/>
      <c r="AD303" s="108"/>
      <c r="AE303" s="127"/>
    </row>
    <row r="304" spans="19:31" ht="12" customHeight="1" x14ac:dyDescent="0.2">
      <c r="S304" s="107"/>
      <c r="T304" s="107"/>
      <c r="U304" s="95"/>
      <c r="V304" s="95"/>
      <c r="W304" s="95"/>
      <c r="X304" s="95"/>
      <c r="Y304" s="95"/>
      <c r="Z304" s="95"/>
      <c r="AA304" s="95"/>
      <c r="AB304" s="95"/>
      <c r="AC304" s="95"/>
      <c r="AD304" s="108"/>
      <c r="AE304" s="127"/>
    </row>
    <row r="305" spans="19:31" ht="12" customHeight="1" x14ac:dyDescent="0.2">
      <c r="S305" s="107"/>
      <c r="T305" s="107"/>
      <c r="U305" s="95"/>
      <c r="V305" s="95"/>
      <c r="W305" s="95"/>
      <c r="X305" s="95"/>
      <c r="Y305" s="95"/>
      <c r="Z305" s="95"/>
      <c r="AA305" s="95"/>
      <c r="AB305" s="95"/>
      <c r="AC305" s="95"/>
      <c r="AD305" s="108"/>
      <c r="AE305" s="127"/>
    </row>
    <row r="306" spans="19:31" ht="12" customHeight="1" x14ac:dyDescent="0.2">
      <c r="U306" s="95"/>
      <c r="V306" s="95"/>
      <c r="W306" s="95"/>
      <c r="X306" s="95"/>
      <c r="Y306" s="95"/>
      <c r="Z306" s="95"/>
      <c r="AA306" s="95"/>
      <c r="AB306" s="95"/>
      <c r="AC306" s="95"/>
      <c r="AE306" s="127"/>
    </row>
    <row r="307" spans="19:31" ht="12" customHeight="1" x14ac:dyDescent="0.2">
      <c r="S307" s="107"/>
      <c r="T307" s="107"/>
      <c r="U307" s="95"/>
      <c r="V307" s="95"/>
      <c r="W307" s="95"/>
      <c r="X307" s="95"/>
      <c r="Y307" s="95"/>
      <c r="Z307" s="95"/>
      <c r="AA307" s="95"/>
      <c r="AB307" s="95"/>
      <c r="AC307" s="95"/>
      <c r="AD307" s="108"/>
      <c r="AE307" s="127"/>
    </row>
    <row r="308" spans="19:31" ht="12" customHeight="1" x14ac:dyDescent="0.2">
      <c r="S308" s="107"/>
      <c r="T308" s="107"/>
      <c r="U308" s="95"/>
      <c r="V308" s="95"/>
      <c r="W308" s="95"/>
      <c r="X308" s="95"/>
      <c r="Y308" s="95"/>
      <c r="Z308" s="95"/>
      <c r="AA308" s="95"/>
      <c r="AB308" s="95"/>
      <c r="AC308" s="95"/>
      <c r="AD308" s="108"/>
      <c r="AE308" s="127"/>
    </row>
    <row r="309" spans="19:31" ht="12" customHeight="1" x14ac:dyDescent="0.2">
      <c r="S309" s="107"/>
      <c r="T309" s="107"/>
      <c r="U309" s="95"/>
      <c r="V309" s="95"/>
      <c r="W309" s="95"/>
      <c r="X309" s="95"/>
      <c r="Y309" s="95"/>
      <c r="Z309" s="95"/>
      <c r="AA309" s="95"/>
      <c r="AB309" s="95"/>
      <c r="AC309" s="95"/>
      <c r="AD309" s="108"/>
      <c r="AE309" s="127"/>
    </row>
    <row r="310" spans="19:31" ht="12" customHeight="1" x14ac:dyDescent="0.2">
      <c r="S310" s="107"/>
      <c r="T310" s="107"/>
      <c r="U310" s="95"/>
      <c r="V310" s="95"/>
      <c r="W310" s="95"/>
      <c r="X310" s="95"/>
      <c r="Y310" s="95"/>
      <c r="Z310" s="95"/>
      <c r="AA310" s="95"/>
      <c r="AB310" s="95"/>
      <c r="AC310" s="95"/>
      <c r="AD310" s="108"/>
      <c r="AE310" s="127"/>
    </row>
    <row r="311" spans="19:31" ht="12" customHeight="1" x14ac:dyDescent="0.2">
      <c r="S311" s="107"/>
      <c r="T311" s="107"/>
      <c r="U311" s="95"/>
      <c r="V311" s="95"/>
      <c r="W311" s="95"/>
      <c r="X311" s="95"/>
      <c r="Y311" s="95"/>
      <c r="Z311" s="95"/>
      <c r="AA311" s="95"/>
      <c r="AB311" s="95"/>
      <c r="AC311" s="95"/>
      <c r="AD311" s="108"/>
      <c r="AE311" s="127"/>
    </row>
    <row r="312" spans="19:31" ht="12" customHeight="1" x14ac:dyDescent="0.2">
      <c r="S312" s="107"/>
      <c r="T312" s="107"/>
      <c r="U312" s="95"/>
      <c r="V312" s="95"/>
      <c r="W312" s="95"/>
      <c r="X312" s="95"/>
      <c r="Y312" s="95"/>
      <c r="Z312" s="95"/>
      <c r="AA312" s="95"/>
      <c r="AB312" s="95"/>
      <c r="AC312" s="95"/>
      <c r="AD312" s="108"/>
      <c r="AE312" s="127"/>
    </row>
    <row r="313" spans="19:31" ht="12" customHeight="1" x14ac:dyDescent="0.2">
      <c r="U313" s="95"/>
      <c r="V313" s="95"/>
      <c r="W313" s="95"/>
      <c r="X313" s="95"/>
      <c r="Y313" s="95"/>
      <c r="Z313" s="95"/>
      <c r="AA313" s="95"/>
      <c r="AB313" s="95"/>
      <c r="AC313" s="95"/>
      <c r="AE313" s="127"/>
    </row>
    <row r="314" spans="19:31" ht="12" customHeight="1" x14ac:dyDescent="0.2">
      <c r="S314" s="107"/>
      <c r="T314" s="107"/>
      <c r="U314" s="95"/>
      <c r="V314" s="95"/>
      <c r="W314" s="95"/>
      <c r="X314" s="95"/>
      <c r="Y314" s="95"/>
      <c r="Z314" s="95"/>
      <c r="AA314" s="95"/>
      <c r="AB314" s="95"/>
      <c r="AC314" s="95"/>
      <c r="AD314" s="108"/>
      <c r="AE314" s="127"/>
    </row>
    <row r="315" spans="19:31" ht="12" customHeight="1" x14ac:dyDescent="0.2">
      <c r="S315" s="107"/>
      <c r="T315" s="107"/>
      <c r="U315" s="95"/>
      <c r="V315" s="95"/>
      <c r="W315" s="95"/>
      <c r="X315" s="95"/>
      <c r="Y315" s="95"/>
      <c r="Z315" s="95"/>
      <c r="AA315" s="95"/>
      <c r="AB315" s="95"/>
      <c r="AC315" s="95"/>
      <c r="AD315" s="108"/>
      <c r="AE315" s="127"/>
    </row>
    <row r="316" spans="19:31" ht="12" customHeight="1" x14ac:dyDescent="0.2">
      <c r="S316" s="107"/>
      <c r="T316" s="107"/>
      <c r="U316" s="95"/>
      <c r="V316" s="95"/>
      <c r="W316" s="95"/>
      <c r="X316" s="95"/>
      <c r="Y316" s="95"/>
      <c r="Z316" s="95"/>
      <c r="AA316" s="95"/>
      <c r="AB316" s="95"/>
      <c r="AC316" s="95"/>
      <c r="AD316" s="108"/>
      <c r="AE316" s="127"/>
    </row>
    <row r="317" spans="19:31" ht="12" customHeight="1" x14ac:dyDescent="0.2">
      <c r="S317" s="107"/>
      <c r="T317" s="107"/>
      <c r="U317" s="95"/>
      <c r="V317" s="95"/>
      <c r="W317" s="95"/>
      <c r="X317" s="95"/>
      <c r="Y317" s="95"/>
      <c r="Z317" s="95"/>
      <c r="AA317" s="95"/>
      <c r="AB317" s="95"/>
      <c r="AC317" s="95"/>
      <c r="AE317" s="127"/>
    </row>
    <row r="318" spans="19:31" ht="12" customHeight="1" x14ac:dyDescent="0.2">
      <c r="S318" s="107"/>
      <c r="T318" s="107"/>
      <c r="U318" s="95"/>
      <c r="V318" s="95"/>
      <c r="W318" s="95"/>
      <c r="X318" s="95"/>
      <c r="Y318" s="95"/>
      <c r="Z318" s="95"/>
      <c r="AA318" s="95"/>
      <c r="AB318" s="95"/>
      <c r="AC318" s="95"/>
      <c r="AD318" s="108"/>
      <c r="AE318" s="127"/>
    </row>
    <row r="319" spans="19:31" ht="12" customHeight="1" x14ac:dyDescent="0.2">
      <c r="S319" s="107"/>
      <c r="T319" s="107"/>
      <c r="U319" s="95"/>
      <c r="V319" s="95"/>
      <c r="W319" s="95"/>
      <c r="X319" s="95"/>
      <c r="Y319" s="95"/>
      <c r="Z319" s="95"/>
      <c r="AA319" s="95"/>
      <c r="AB319" s="95"/>
      <c r="AC319" s="95"/>
      <c r="AD319" s="108"/>
      <c r="AE319" s="127"/>
    </row>
    <row r="320" spans="19:31" ht="12" customHeight="1" x14ac:dyDescent="0.2">
      <c r="S320" s="107"/>
      <c r="T320" s="107"/>
      <c r="U320" s="95"/>
      <c r="V320" s="95"/>
      <c r="W320" s="95"/>
      <c r="X320" s="95"/>
      <c r="Y320" s="95"/>
      <c r="Z320" s="95"/>
      <c r="AA320" s="95"/>
      <c r="AB320" s="95"/>
      <c r="AC320" s="95"/>
      <c r="AE320" s="127"/>
    </row>
    <row r="321" spans="19:31" ht="12" customHeight="1" x14ac:dyDescent="0.2">
      <c r="S321" s="107"/>
      <c r="T321" s="107"/>
      <c r="U321" s="95"/>
      <c r="V321" s="95"/>
      <c r="W321" s="95"/>
      <c r="X321" s="95"/>
      <c r="Y321" s="95"/>
      <c r="Z321" s="95"/>
      <c r="AA321" s="95"/>
      <c r="AB321" s="95"/>
      <c r="AC321" s="95"/>
      <c r="AD321" s="108"/>
      <c r="AE321" s="127"/>
    </row>
    <row r="322" spans="19:31" ht="12" customHeight="1" x14ac:dyDescent="0.2">
      <c r="S322" s="107"/>
      <c r="T322" s="107"/>
      <c r="U322" s="95"/>
      <c r="V322" s="95"/>
      <c r="W322" s="95"/>
      <c r="X322" s="95"/>
      <c r="Y322" s="95"/>
      <c r="Z322" s="95"/>
      <c r="AA322" s="95"/>
      <c r="AB322" s="95"/>
      <c r="AC322" s="95"/>
      <c r="AD322" s="108"/>
      <c r="AE322" s="127"/>
    </row>
    <row r="323" spans="19:31" ht="12" customHeight="1" x14ac:dyDescent="0.2">
      <c r="S323" s="107"/>
      <c r="T323" s="107"/>
      <c r="U323" s="95"/>
      <c r="V323" s="95"/>
      <c r="W323" s="95"/>
      <c r="X323" s="95"/>
      <c r="Y323" s="95"/>
      <c r="Z323" s="95"/>
      <c r="AA323" s="95"/>
      <c r="AB323" s="95"/>
      <c r="AC323" s="95"/>
      <c r="AD323" s="108"/>
      <c r="AE323" s="127"/>
    </row>
    <row r="324" spans="19:31" ht="12" customHeight="1" x14ac:dyDescent="0.2">
      <c r="S324" s="107"/>
      <c r="T324" s="107"/>
      <c r="U324" s="95"/>
      <c r="V324" s="95"/>
      <c r="W324" s="95"/>
      <c r="X324" s="95"/>
      <c r="Y324" s="95"/>
      <c r="Z324" s="95"/>
      <c r="AA324" s="95"/>
      <c r="AB324" s="95"/>
      <c r="AC324" s="95"/>
      <c r="AE324" s="127"/>
    </row>
    <row r="325" spans="19:31" ht="12" customHeight="1" x14ac:dyDescent="0.2">
      <c r="S325" s="107"/>
      <c r="T325" s="107"/>
      <c r="U325" s="95"/>
      <c r="V325" s="95"/>
      <c r="W325" s="95"/>
      <c r="X325" s="95"/>
      <c r="Y325" s="95"/>
      <c r="Z325" s="95"/>
      <c r="AA325" s="95"/>
      <c r="AB325" s="95"/>
      <c r="AC325" s="95"/>
      <c r="AD325" s="108"/>
      <c r="AE325" s="127"/>
    </row>
    <row r="326" spans="19:31" ht="12" customHeight="1" x14ac:dyDescent="0.2">
      <c r="S326" s="107"/>
      <c r="T326" s="107"/>
      <c r="U326" s="95"/>
      <c r="V326" s="95"/>
      <c r="W326" s="95"/>
      <c r="X326" s="95"/>
      <c r="Y326" s="95"/>
      <c r="Z326" s="95"/>
      <c r="AA326" s="95"/>
      <c r="AB326" s="95"/>
      <c r="AC326" s="95"/>
      <c r="AD326" s="108"/>
      <c r="AE326" s="127"/>
    </row>
    <row r="327" spans="19:31" ht="12" customHeight="1" x14ac:dyDescent="0.2">
      <c r="S327" s="107"/>
      <c r="T327" s="107"/>
      <c r="U327" s="95"/>
      <c r="V327" s="95"/>
      <c r="W327" s="95"/>
      <c r="X327" s="95"/>
      <c r="Y327" s="95"/>
      <c r="Z327" s="95"/>
      <c r="AA327" s="95"/>
      <c r="AB327" s="95"/>
      <c r="AC327" s="95"/>
      <c r="AD327" s="108"/>
      <c r="AE327" s="127"/>
    </row>
    <row r="328" spans="19:31" ht="12" customHeight="1" x14ac:dyDescent="0.2">
      <c r="S328" s="107"/>
      <c r="T328" s="107"/>
      <c r="U328" s="95"/>
      <c r="V328" s="95"/>
      <c r="W328" s="95"/>
      <c r="X328" s="95"/>
      <c r="Y328" s="95"/>
      <c r="Z328" s="95"/>
      <c r="AA328" s="95"/>
      <c r="AB328" s="95"/>
      <c r="AC328" s="95"/>
      <c r="AD328" s="108"/>
      <c r="AE328" s="127"/>
    </row>
    <row r="329" spans="19:31" ht="12" customHeight="1" x14ac:dyDescent="0.2">
      <c r="S329" s="107"/>
      <c r="T329" s="107"/>
      <c r="U329" s="95"/>
      <c r="V329" s="95"/>
      <c r="W329" s="95"/>
      <c r="X329" s="95"/>
      <c r="Y329" s="95"/>
      <c r="Z329" s="95"/>
      <c r="AA329" s="95"/>
      <c r="AB329" s="95"/>
      <c r="AC329" s="95"/>
      <c r="AD329" s="108"/>
      <c r="AE329" s="127"/>
    </row>
    <row r="330" spans="19:31" ht="12" customHeight="1" x14ac:dyDescent="0.2">
      <c r="S330" s="107"/>
      <c r="T330" s="107"/>
      <c r="U330" s="95"/>
      <c r="V330" s="95"/>
      <c r="W330" s="95"/>
      <c r="X330" s="95"/>
      <c r="Y330" s="95"/>
      <c r="Z330" s="95"/>
      <c r="AA330" s="95"/>
      <c r="AB330" s="95"/>
      <c r="AC330" s="95"/>
      <c r="AD330" s="108"/>
      <c r="AE330" s="127"/>
    </row>
    <row r="331" spans="19:31" ht="12" customHeight="1" x14ac:dyDescent="0.2">
      <c r="S331" s="107"/>
      <c r="T331" s="107"/>
      <c r="U331" s="95"/>
      <c r="V331" s="95"/>
      <c r="W331" s="95"/>
      <c r="X331" s="95"/>
      <c r="Y331" s="95"/>
      <c r="Z331" s="95"/>
      <c r="AA331" s="95"/>
      <c r="AB331" s="95"/>
      <c r="AC331" s="95"/>
      <c r="AE331" s="127"/>
    </row>
    <row r="332" spans="19:31" ht="12" customHeight="1" x14ac:dyDescent="0.2">
      <c r="S332" s="107"/>
      <c r="T332" s="107"/>
      <c r="U332" s="95"/>
      <c r="V332" s="95"/>
      <c r="W332" s="95"/>
      <c r="X332" s="95"/>
      <c r="Y332" s="95"/>
      <c r="Z332" s="95"/>
      <c r="AA332" s="95"/>
      <c r="AB332" s="95"/>
      <c r="AC332" s="95"/>
      <c r="AD332" s="108"/>
      <c r="AE332" s="127"/>
    </row>
    <row r="333" spans="19:31" ht="12" customHeight="1" x14ac:dyDescent="0.2">
      <c r="S333" s="107"/>
      <c r="T333" s="107"/>
      <c r="U333" s="95"/>
      <c r="V333" s="95"/>
      <c r="W333" s="95"/>
      <c r="X333" s="95"/>
      <c r="Y333" s="95"/>
      <c r="Z333" s="95"/>
      <c r="AA333" s="95"/>
      <c r="AB333" s="95"/>
      <c r="AC333" s="95"/>
      <c r="AD333" s="108"/>
      <c r="AE333" s="127"/>
    </row>
    <row r="334" spans="19:31" ht="12" customHeight="1" x14ac:dyDescent="0.2">
      <c r="S334" s="107"/>
      <c r="T334" s="107"/>
      <c r="U334" s="95"/>
      <c r="V334" s="95"/>
      <c r="W334" s="95"/>
      <c r="X334" s="95"/>
      <c r="Y334" s="95"/>
      <c r="Z334" s="95"/>
      <c r="AA334" s="95"/>
      <c r="AB334" s="95"/>
      <c r="AC334" s="95"/>
      <c r="AE334" s="127"/>
    </row>
    <row r="335" spans="19:31" ht="12" customHeight="1" x14ac:dyDescent="0.2">
      <c r="S335" s="107"/>
      <c r="T335" s="107"/>
      <c r="U335" s="95"/>
      <c r="V335" s="95"/>
      <c r="W335" s="95"/>
      <c r="X335" s="95"/>
      <c r="Y335" s="95"/>
      <c r="Z335" s="95"/>
      <c r="AA335" s="95"/>
      <c r="AB335" s="95"/>
      <c r="AC335" s="95"/>
      <c r="AD335" s="108"/>
      <c r="AE335" s="127"/>
    </row>
    <row r="336" spans="19:31" ht="12" customHeight="1" x14ac:dyDescent="0.2">
      <c r="S336" s="107"/>
      <c r="T336" s="107"/>
      <c r="U336" s="95"/>
      <c r="V336" s="95"/>
      <c r="W336" s="95"/>
      <c r="X336" s="95"/>
      <c r="Y336" s="95"/>
      <c r="Z336" s="95"/>
      <c r="AA336" s="95"/>
      <c r="AB336" s="95"/>
      <c r="AC336" s="95"/>
      <c r="AD336" s="108"/>
      <c r="AE336" s="127"/>
    </row>
    <row r="337" spans="19:31" ht="12" customHeight="1" x14ac:dyDescent="0.2">
      <c r="S337" s="107"/>
      <c r="T337" s="107"/>
      <c r="U337" s="95"/>
      <c r="V337" s="95"/>
      <c r="W337" s="95"/>
      <c r="X337" s="95"/>
      <c r="Y337" s="95"/>
      <c r="Z337" s="95"/>
      <c r="AA337" s="95"/>
      <c r="AB337" s="95"/>
      <c r="AC337" s="95"/>
      <c r="AD337" s="108"/>
      <c r="AE337" s="127"/>
    </row>
    <row r="338" spans="19:31" ht="12" customHeight="1" x14ac:dyDescent="0.2">
      <c r="S338" s="107"/>
      <c r="T338" s="107"/>
      <c r="U338" s="95"/>
      <c r="V338" s="95"/>
      <c r="W338" s="95"/>
      <c r="X338" s="95"/>
      <c r="Y338" s="95"/>
      <c r="Z338" s="95"/>
      <c r="AA338" s="95"/>
      <c r="AB338" s="95"/>
      <c r="AC338" s="95"/>
      <c r="AD338" s="108"/>
      <c r="AE338" s="127"/>
    </row>
    <row r="339" spans="19:31" ht="12" customHeight="1" x14ac:dyDescent="0.2">
      <c r="S339" s="107"/>
      <c r="T339" s="107"/>
      <c r="U339" s="95"/>
      <c r="V339" s="95"/>
      <c r="W339" s="95"/>
      <c r="X339" s="95"/>
      <c r="Y339" s="95"/>
      <c r="Z339" s="95"/>
      <c r="AA339" s="95"/>
      <c r="AB339" s="95"/>
      <c r="AC339" s="95"/>
      <c r="AD339" s="108"/>
      <c r="AE339" s="127"/>
    </row>
    <row r="340" spans="19:31" ht="12" customHeight="1" x14ac:dyDescent="0.2">
      <c r="S340" s="107"/>
      <c r="T340" s="107"/>
      <c r="U340" s="95"/>
      <c r="V340" s="95"/>
      <c r="W340" s="95"/>
      <c r="X340" s="95"/>
      <c r="Y340" s="95"/>
      <c r="Z340" s="95"/>
      <c r="AA340" s="95"/>
      <c r="AB340" s="95"/>
      <c r="AC340" s="95"/>
      <c r="AD340" s="108"/>
      <c r="AE340" s="127"/>
    </row>
    <row r="341" spans="19:31" ht="12" customHeight="1" x14ac:dyDescent="0.2">
      <c r="S341" s="107"/>
      <c r="T341" s="107"/>
      <c r="U341" s="95"/>
      <c r="V341" s="95"/>
      <c r="W341" s="95"/>
      <c r="X341" s="95"/>
      <c r="Y341" s="95"/>
      <c r="Z341" s="95"/>
      <c r="AA341" s="95"/>
      <c r="AB341" s="95"/>
      <c r="AC341" s="95"/>
      <c r="AE341" s="127"/>
    </row>
    <row r="342" spans="19:31" ht="12" customHeight="1" x14ac:dyDescent="0.2">
      <c r="S342" s="107"/>
      <c r="T342" s="107"/>
      <c r="U342" s="95"/>
      <c r="V342" s="95"/>
      <c r="W342" s="95"/>
      <c r="X342" s="95"/>
      <c r="Y342" s="95"/>
      <c r="Z342" s="95"/>
      <c r="AA342" s="95"/>
      <c r="AB342" s="95"/>
      <c r="AC342" s="95"/>
      <c r="AD342" s="108"/>
      <c r="AE342" s="127"/>
    </row>
    <row r="343" spans="19:31" ht="12" customHeight="1" x14ac:dyDescent="0.2">
      <c r="S343" s="107"/>
      <c r="T343" s="107"/>
      <c r="U343" s="95"/>
      <c r="V343" s="95"/>
      <c r="W343" s="95"/>
      <c r="X343" s="95"/>
      <c r="Y343" s="95"/>
      <c r="Z343" s="95"/>
      <c r="AA343" s="95"/>
      <c r="AB343" s="95"/>
      <c r="AC343" s="95"/>
      <c r="AD343" s="108"/>
      <c r="AE343" s="127"/>
    </row>
    <row r="344" spans="19:31" ht="12" customHeight="1" x14ac:dyDescent="0.2">
      <c r="S344" s="107"/>
      <c r="T344" s="107"/>
      <c r="U344" s="95"/>
      <c r="V344" s="95"/>
      <c r="W344" s="95"/>
      <c r="X344" s="95"/>
      <c r="Y344" s="95"/>
      <c r="Z344" s="95"/>
      <c r="AA344" s="95"/>
      <c r="AB344" s="95"/>
      <c r="AC344" s="95"/>
      <c r="AD344" s="108"/>
      <c r="AE344" s="127"/>
    </row>
    <row r="345" spans="19:31" ht="12" customHeight="1" x14ac:dyDescent="0.2">
      <c r="S345" s="107"/>
      <c r="T345" s="107"/>
      <c r="U345" s="95"/>
      <c r="V345" s="95"/>
      <c r="W345" s="95"/>
      <c r="X345" s="95"/>
      <c r="Y345" s="95"/>
      <c r="Z345" s="95"/>
      <c r="AA345" s="95"/>
      <c r="AB345" s="95"/>
      <c r="AC345" s="95"/>
      <c r="AD345" s="108"/>
      <c r="AE345" s="127"/>
    </row>
    <row r="346" spans="19:31" ht="12" customHeight="1" x14ac:dyDescent="0.2">
      <c r="S346" s="107"/>
      <c r="T346" s="107"/>
      <c r="U346" s="95"/>
      <c r="V346" s="95"/>
      <c r="W346" s="95"/>
      <c r="X346" s="95"/>
      <c r="Y346" s="95"/>
      <c r="Z346" s="95"/>
      <c r="AA346" s="95"/>
      <c r="AB346" s="95"/>
      <c r="AC346" s="95"/>
      <c r="AD346" s="108"/>
      <c r="AE346" s="127"/>
    </row>
    <row r="347" spans="19:31" ht="12" customHeight="1" x14ac:dyDescent="0.2">
      <c r="S347" s="107"/>
      <c r="T347" s="107"/>
      <c r="U347" s="95"/>
      <c r="V347" s="95"/>
      <c r="W347" s="95"/>
      <c r="X347" s="95"/>
      <c r="Y347" s="95"/>
      <c r="Z347" s="95"/>
      <c r="AA347" s="95"/>
      <c r="AB347" s="95"/>
      <c r="AC347" s="95"/>
      <c r="AD347" s="108"/>
      <c r="AE347" s="127"/>
    </row>
    <row r="348" spans="19:31" ht="12" customHeight="1" x14ac:dyDescent="0.2">
      <c r="S348" s="107"/>
      <c r="T348" s="107"/>
      <c r="U348" s="95"/>
      <c r="V348" s="95"/>
      <c r="W348" s="95"/>
      <c r="X348" s="95"/>
      <c r="Y348" s="95"/>
      <c r="Z348" s="95"/>
      <c r="AA348" s="95"/>
      <c r="AB348" s="95"/>
      <c r="AC348" s="95"/>
      <c r="AE348" s="127"/>
    </row>
    <row r="349" spans="19:31" ht="12" customHeight="1" x14ac:dyDescent="0.2">
      <c r="S349" s="107"/>
      <c r="T349" s="107"/>
      <c r="U349" s="95"/>
      <c r="V349" s="95"/>
      <c r="W349" s="95"/>
      <c r="X349" s="95"/>
      <c r="Y349" s="95"/>
      <c r="Z349" s="95"/>
      <c r="AA349" s="95"/>
      <c r="AB349" s="95"/>
      <c r="AC349" s="95"/>
      <c r="AD349" s="108"/>
      <c r="AE349" s="127"/>
    </row>
    <row r="350" spans="19:31" ht="12" customHeight="1" x14ac:dyDescent="0.2">
      <c r="S350" s="107"/>
      <c r="T350" s="107"/>
      <c r="U350" s="95"/>
      <c r="V350" s="95"/>
      <c r="W350" s="95"/>
      <c r="X350" s="95"/>
      <c r="Y350" s="95"/>
      <c r="Z350" s="95"/>
      <c r="AA350" s="95"/>
      <c r="AB350" s="95"/>
      <c r="AC350" s="95"/>
      <c r="AE350" s="127"/>
    </row>
    <row r="351" spans="19:31" ht="12" customHeight="1" x14ac:dyDescent="0.2">
      <c r="S351" s="107"/>
      <c r="T351" s="107"/>
      <c r="U351" s="95"/>
      <c r="V351" s="95"/>
      <c r="W351" s="95"/>
      <c r="X351" s="95"/>
      <c r="Y351" s="95"/>
      <c r="Z351" s="95"/>
      <c r="AA351" s="95"/>
      <c r="AB351" s="95"/>
      <c r="AC351" s="95"/>
      <c r="AD351" s="108"/>
      <c r="AE351" s="127"/>
    </row>
    <row r="352" spans="19:31" ht="12" customHeight="1" x14ac:dyDescent="0.2">
      <c r="S352" s="107"/>
      <c r="T352" s="107"/>
      <c r="U352" s="95"/>
      <c r="V352" s="95"/>
      <c r="W352" s="95"/>
      <c r="X352" s="95"/>
      <c r="Y352" s="95"/>
      <c r="Z352" s="95"/>
      <c r="AA352" s="95"/>
      <c r="AB352" s="95"/>
      <c r="AC352" s="95"/>
      <c r="AD352" s="108"/>
      <c r="AE352" s="127"/>
    </row>
    <row r="353" spans="19:31" ht="12" customHeight="1" x14ac:dyDescent="0.2">
      <c r="S353" s="107"/>
      <c r="T353" s="107"/>
      <c r="U353" s="95"/>
      <c r="V353" s="95"/>
      <c r="W353" s="95"/>
      <c r="X353" s="95"/>
      <c r="Y353" s="95"/>
      <c r="Z353" s="95"/>
      <c r="AA353" s="95"/>
      <c r="AB353" s="95"/>
      <c r="AC353" s="95"/>
      <c r="AD353" s="108"/>
      <c r="AE353" s="127"/>
    </row>
    <row r="354" spans="19:31" ht="12" customHeight="1" x14ac:dyDescent="0.2">
      <c r="S354" s="107"/>
      <c r="T354" s="107"/>
      <c r="U354" s="95"/>
      <c r="V354" s="95"/>
      <c r="W354" s="95"/>
      <c r="X354" s="95"/>
      <c r="Y354" s="95"/>
      <c r="Z354" s="95"/>
      <c r="AA354" s="95"/>
      <c r="AB354" s="95"/>
      <c r="AC354" s="95"/>
      <c r="AD354" s="108"/>
      <c r="AE354" s="127"/>
    </row>
    <row r="355" spans="19:31" ht="12" customHeight="1" x14ac:dyDescent="0.2">
      <c r="S355" s="107"/>
      <c r="T355" s="107"/>
      <c r="U355" s="95"/>
      <c r="V355" s="95"/>
      <c r="W355" s="95"/>
      <c r="X355" s="95"/>
      <c r="Y355" s="95"/>
      <c r="Z355" s="95"/>
      <c r="AA355" s="95"/>
      <c r="AB355" s="95"/>
      <c r="AC355" s="95"/>
      <c r="AE355" s="127"/>
    </row>
    <row r="356" spans="19:31" ht="12" customHeight="1" x14ac:dyDescent="0.2">
      <c r="S356" s="107"/>
      <c r="T356" s="107"/>
      <c r="U356" s="95"/>
      <c r="V356" s="95"/>
      <c r="W356" s="95"/>
      <c r="X356" s="95"/>
      <c r="Y356" s="95"/>
      <c r="Z356" s="95"/>
      <c r="AA356" s="95"/>
      <c r="AB356" s="95"/>
      <c r="AC356" s="95"/>
      <c r="AD356" s="108"/>
      <c r="AE356" s="127"/>
    </row>
    <row r="357" spans="19:31" ht="12" customHeight="1" x14ac:dyDescent="0.2">
      <c r="S357" s="107"/>
      <c r="T357" s="107"/>
      <c r="U357" s="95"/>
      <c r="V357" s="95"/>
      <c r="W357" s="95"/>
      <c r="X357" s="95"/>
      <c r="Y357" s="95"/>
      <c r="Z357" s="95"/>
      <c r="AA357" s="95"/>
      <c r="AB357" s="95"/>
      <c r="AC357" s="95"/>
      <c r="AD357" s="108"/>
      <c r="AE357" s="127"/>
    </row>
    <row r="358" spans="19:31" ht="12" customHeight="1" x14ac:dyDescent="0.2">
      <c r="S358" s="107"/>
      <c r="T358" s="107"/>
      <c r="U358" s="95"/>
      <c r="V358" s="95"/>
      <c r="W358" s="95"/>
      <c r="X358" s="95"/>
      <c r="Y358" s="95"/>
      <c r="Z358" s="95"/>
      <c r="AA358" s="95"/>
      <c r="AB358" s="95"/>
      <c r="AC358" s="95"/>
      <c r="AD358" s="108"/>
      <c r="AE358" s="127"/>
    </row>
    <row r="359" spans="19:31" ht="12" customHeight="1" x14ac:dyDescent="0.2">
      <c r="S359" s="107"/>
      <c r="T359" s="107"/>
      <c r="U359" s="95"/>
      <c r="V359" s="95"/>
      <c r="W359" s="95"/>
      <c r="X359" s="95"/>
      <c r="Y359" s="95"/>
      <c r="Z359" s="95"/>
      <c r="AA359" s="95"/>
      <c r="AB359" s="95"/>
      <c r="AC359" s="95"/>
      <c r="AD359" s="108"/>
      <c r="AE359" s="127"/>
    </row>
    <row r="360" spans="19:31" ht="12" customHeight="1" x14ac:dyDescent="0.2">
      <c r="U360" s="95"/>
      <c r="V360" s="95"/>
      <c r="W360" s="95"/>
      <c r="X360" s="95"/>
      <c r="Y360" s="95"/>
      <c r="Z360" s="95"/>
      <c r="AA360" s="95"/>
      <c r="AB360" s="95"/>
      <c r="AC360" s="95"/>
      <c r="AE360" s="127"/>
    </row>
    <row r="361" spans="19:31" ht="12" customHeight="1" x14ac:dyDescent="0.2">
      <c r="S361" s="107"/>
      <c r="T361" s="107"/>
      <c r="U361" s="95"/>
      <c r="V361" s="95"/>
      <c r="W361" s="95"/>
      <c r="X361" s="95"/>
      <c r="Y361" s="95"/>
      <c r="Z361" s="95"/>
      <c r="AA361" s="95"/>
      <c r="AB361" s="95"/>
      <c r="AC361" s="95"/>
      <c r="AD361" s="108"/>
      <c r="AE361" s="127"/>
    </row>
    <row r="362" spans="19:31" ht="12" customHeight="1" x14ac:dyDescent="0.2">
      <c r="S362" s="107"/>
      <c r="T362" s="107"/>
      <c r="U362" s="95"/>
      <c r="V362" s="95"/>
      <c r="W362" s="95"/>
      <c r="X362" s="95"/>
      <c r="Y362" s="95"/>
      <c r="Z362" s="95"/>
      <c r="AA362" s="95"/>
      <c r="AB362" s="95"/>
      <c r="AC362" s="95"/>
      <c r="AD362" s="108"/>
      <c r="AE362" s="127"/>
    </row>
    <row r="363" spans="19:31" ht="12" customHeight="1" x14ac:dyDescent="0.2">
      <c r="S363" s="107"/>
      <c r="T363" s="107"/>
      <c r="U363" s="95"/>
      <c r="V363" s="95"/>
      <c r="W363" s="95"/>
      <c r="X363" s="95"/>
      <c r="Y363" s="95"/>
      <c r="Z363" s="95"/>
      <c r="AA363" s="95"/>
      <c r="AB363" s="95"/>
      <c r="AC363" s="95"/>
      <c r="AD363" s="108"/>
      <c r="AE363" s="127"/>
    </row>
    <row r="364" spans="19:31" ht="12" customHeight="1" x14ac:dyDescent="0.2">
      <c r="S364" s="107"/>
      <c r="T364" s="107"/>
      <c r="U364" s="95"/>
      <c r="V364" s="95"/>
      <c r="W364" s="95"/>
      <c r="X364" s="95"/>
      <c r="Y364" s="95"/>
      <c r="Z364" s="95"/>
      <c r="AA364" s="95"/>
      <c r="AB364" s="95"/>
      <c r="AC364" s="95"/>
      <c r="AE364" s="127"/>
    </row>
    <row r="365" spans="19:31" ht="12" customHeight="1" x14ac:dyDescent="0.2">
      <c r="S365" s="107"/>
      <c r="T365" s="107"/>
      <c r="U365" s="95"/>
      <c r="V365" s="95"/>
      <c r="W365" s="95"/>
      <c r="X365" s="95"/>
      <c r="Y365" s="95"/>
      <c r="Z365" s="95"/>
      <c r="AA365" s="95"/>
      <c r="AB365" s="95"/>
      <c r="AC365" s="95"/>
      <c r="AE365" s="127"/>
    </row>
    <row r="366" spans="19:31" ht="12" customHeight="1" x14ac:dyDescent="0.2">
      <c r="S366" s="107"/>
      <c r="T366" s="107"/>
      <c r="U366" s="95"/>
      <c r="V366" s="95"/>
      <c r="W366" s="95"/>
      <c r="X366" s="95"/>
      <c r="Y366" s="95"/>
      <c r="Z366" s="95"/>
      <c r="AA366" s="95"/>
      <c r="AB366" s="95"/>
      <c r="AC366" s="95"/>
      <c r="AE366" s="127"/>
    </row>
    <row r="367" spans="19:31" ht="12" customHeight="1" x14ac:dyDescent="0.2">
      <c r="S367" s="107"/>
      <c r="T367" s="107"/>
      <c r="U367" s="95"/>
      <c r="V367" s="95"/>
      <c r="W367" s="95"/>
      <c r="X367" s="95"/>
      <c r="Y367" s="95"/>
      <c r="Z367" s="95"/>
      <c r="AA367" s="95"/>
      <c r="AB367" s="95"/>
      <c r="AC367" s="95"/>
      <c r="AD367" s="108"/>
      <c r="AE367" s="127"/>
    </row>
    <row r="368" spans="19:31" ht="12" customHeight="1" x14ac:dyDescent="0.2">
      <c r="S368" s="107"/>
      <c r="T368" s="107"/>
      <c r="U368" s="95"/>
      <c r="V368" s="95"/>
      <c r="W368" s="95"/>
      <c r="X368" s="95"/>
      <c r="Y368" s="95"/>
      <c r="Z368" s="95"/>
      <c r="AA368" s="95"/>
      <c r="AB368" s="95"/>
      <c r="AC368" s="95"/>
      <c r="AD368" s="108"/>
      <c r="AE368" s="127"/>
    </row>
    <row r="369" spans="19:31" ht="12" customHeight="1" x14ac:dyDescent="0.2">
      <c r="S369" s="107"/>
      <c r="T369" s="107"/>
      <c r="U369" s="95"/>
      <c r="V369" s="95"/>
      <c r="W369" s="95"/>
      <c r="X369" s="95"/>
      <c r="Y369" s="95"/>
      <c r="Z369" s="95"/>
      <c r="AA369" s="95"/>
      <c r="AB369" s="95"/>
      <c r="AC369" s="95"/>
      <c r="AD369" s="108"/>
      <c r="AE369" s="127"/>
    </row>
    <row r="370" spans="19:31" ht="12" customHeight="1" x14ac:dyDescent="0.2">
      <c r="S370" s="107"/>
      <c r="T370" s="107"/>
      <c r="U370" s="95"/>
      <c r="V370" s="95"/>
      <c r="W370" s="95"/>
      <c r="X370" s="95"/>
      <c r="Y370" s="95"/>
      <c r="Z370" s="95"/>
      <c r="AA370" s="95"/>
      <c r="AB370" s="95"/>
      <c r="AC370" s="95"/>
      <c r="AE370" s="127"/>
    </row>
    <row r="371" spans="19:31" ht="12" customHeight="1" x14ac:dyDescent="0.2">
      <c r="S371" s="107"/>
      <c r="T371" s="107"/>
      <c r="U371" s="95"/>
      <c r="V371" s="95"/>
      <c r="W371" s="95"/>
      <c r="X371" s="95"/>
      <c r="Y371" s="95"/>
      <c r="Z371" s="95"/>
      <c r="AA371" s="95"/>
      <c r="AB371" s="95"/>
      <c r="AC371" s="95"/>
      <c r="AD371" s="108"/>
      <c r="AE371" s="127"/>
    </row>
    <row r="372" spans="19:31" ht="12" customHeight="1" x14ac:dyDescent="0.2">
      <c r="S372" s="107"/>
      <c r="T372" s="107"/>
      <c r="U372" s="95"/>
      <c r="V372" s="95"/>
      <c r="W372" s="95"/>
      <c r="X372" s="95"/>
      <c r="Y372" s="95"/>
      <c r="Z372" s="95"/>
      <c r="AA372" s="95"/>
      <c r="AB372" s="95"/>
      <c r="AC372" s="95"/>
      <c r="AD372" s="108"/>
      <c r="AE372" s="127"/>
    </row>
    <row r="373" spans="19:31" ht="12" customHeight="1" x14ac:dyDescent="0.2">
      <c r="S373" s="107"/>
      <c r="T373" s="107"/>
      <c r="U373" s="95"/>
      <c r="V373" s="95"/>
      <c r="W373" s="95"/>
      <c r="X373" s="95"/>
      <c r="Y373" s="95"/>
      <c r="Z373" s="95"/>
      <c r="AA373" s="95"/>
      <c r="AB373" s="95"/>
      <c r="AC373" s="95"/>
      <c r="AD373" s="108"/>
      <c r="AE373" s="127"/>
    </row>
    <row r="374" spans="19:31" ht="12" customHeight="1" x14ac:dyDescent="0.2">
      <c r="S374" s="107"/>
      <c r="T374" s="107"/>
      <c r="U374" s="95"/>
      <c r="V374" s="95"/>
      <c r="W374" s="95"/>
      <c r="X374" s="95"/>
      <c r="Y374" s="95"/>
      <c r="Z374" s="95"/>
      <c r="AA374" s="95"/>
      <c r="AB374" s="95"/>
      <c r="AC374" s="95"/>
      <c r="AE374" s="127"/>
    </row>
    <row r="375" spans="19:31" ht="12" customHeight="1" x14ac:dyDescent="0.2">
      <c r="S375" s="107"/>
      <c r="T375" s="107"/>
      <c r="U375" s="95"/>
      <c r="V375" s="95"/>
      <c r="W375" s="95"/>
      <c r="X375" s="95"/>
      <c r="Y375" s="95"/>
      <c r="Z375" s="95"/>
      <c r="AA375" s="95"/>
      <c r="AB375" s="95"/>
      <c r="AC375" s="95"/>
      <c r="AD375" s="108"/>
      <c r="AE375" s="127"/>
    </row>
    <row r="376" spans="19:31" ht="12" customHeight="1" x14ac:dyDescent="0.2">
      <c r="S376" s="107"/>
      <c r="T376" s="107"/>
      <c r="U376" s="95"/>
      <c r="V376" s="95"/>
      <c r="W376" s="95"/>
      <c r="X376" s="95"/>
      <c r="Y376" s="95"/>
      <c r="Z376" s="95"/>
      <c r="AA376" s="95"/>
      <c r="AB376" s="95"/>
      <c r="AC376" s="95"/>
      <c r="AD376" s="108"/>
      <c r="AE376" s="127"/>
    </row>
    <row r="377" spans="19:31" ht="12" customHeight="1" x14ac:dyDescent="0.2">
      <c r="S377" s="107"/>
      <c r="T377" s="107"/>
      <c r="U377" s="95"/>
      <c r="V377" s="95"/>
      <c r="W377" s="95"/>
      <c r="X377" s="95"/>
      <c r="Y377" s="95"/>
      <c r="Z377" s="95"/>
      <c r="AA377" s="95"/>
      <c r="AB377" s="95"/>
      <c r="AC377" s="95"/>
      <c r="AE377" s="127"/>
    </row>
    <row r="378" spans="19:31" ht="12" customHeight="1" x14ac:dyDescent="0.2">
      <c r="S378" s="107"/>
      <c r="T378" s="107"/>
      <c r="U378" s="95"/>
      <c r="V378" s="95"/>
      <c r="W378" s="95"/>
      <c r="X378" s="95"/>
      <c r="Y378" s="95"/>
      <c r="Z378" s="95"/>
      <c r="AA378" s="95"/>
      <c r="AB378" s="95"/>
      <c r="AC378" s="95"/>
      <c r="AE378" s="127"/>
    </row>
    <row r="379" spans="19:31" ht="12" customHeight="1" x14ac:dyDescent="0.2">
      <c r="S379" s="107"/>
      <c r="T379" s="107"/>
      <c r="U379" s="95"/>
      <c r="V379" s="95"/>
      <c r="W379" s="95"/>
      <c r="X379" s="95"/>
      <c r="Y379" s="95"/>
      <c r="Z379" s="95"/>
      <c r="AA379" s="95"/>
      <c r="AB379" s="95"/>
      <c r="AC379" s="95"/>
      <c r="AE379" s="127"/>
    </row>
    <row r="380" spans="19:31" ht="12" customHeight="1" x14ac:dyDescent="0.2">
      <c r="S380" s="107"/>
      <c r="T380" s="107"/>
      <c r="U380" s="95"/>
      <c r="V380" s="95"/>
      <c r="W380" s="95"/>
      <c r="X380" s="95"/>
      <c r="Y380" s="95"/>
      <c r="Z380" s="95"/>
      <c r="AA380" s="95"/>
      <c r="AB380" s="95"/>
      <c r="AC380" s="95"/>
      <c r="AD380" s="108"/>
      <c r="AE380" s="127"/>
    </row>
    <row r="381" spans="19:31" ht="12" customHeight="1" x14ac:dyDescent="0.2">
      <c r="S381" s="107"/>
      <c r="T381" s="107"/>
      <c r="U381" s="95"/>
      <c r="V381" s="95"/>
      <c r="W381" s="95"/>
      <c r="X381" s="95"/>
      <c r="Y381" s="95"/>
      <c r="Z381" s="95"/>
      <c r="AA381" s="95"/>
      <c r="AB381" s="95"/>
      <c r="AC381" s="95"/>
      <c r="AE381" s="127"/>
    </row>
    <row r="382" spans="19:31" ht="12" customHeight="1" x14ac:dyDescent="0.2">
      <c r="S382" s="107"/>
      <c r="T382" s="107"/>
      <c r="U382" s="95"/>
      <c r="V382" s="95"/>
      <c r="W382" s="95"/>
      <c r="X382" s="95"/>
      <c r="Y382" s="95"/>
      <c r="Z382" s="95"/>
      <c r="AA382" s="95"/>
      <c r="AB382" s="95"/>
      <c r="AC382" s="95"/>
      <c r="AD382" s="108"/>
      <c r="AE382" s="127"/>
    </row>
    <row r="383" spans="19:31" ht="12" customHeight="1" x14ac:dyDescent="0.2">
      <c r="S383" s="107"/>
      <c r="T383" s="107"/>
      <c r="U383" s="95"/>
      <c r="V383" s="95"/>
      <c r="W383" s="95"/>
      <c r="X383" s="95"/>
      <c r="Y383" s="95"/>
      <c r="Z383" s="95"/>
      <c r="AA383" s="95"/>
      <c r="AB383" s="95"/>
      <c r="AC383" s="95"/>
      <c r="AD383" s="108"/>
      <c r="AE383" s="127"/>
    </row>
    <row r="384" spans="19:31" ht="12" customHeight="1" x14ac:dyDescent="0.2">
      <c r="S384" s="107"/>
      <c r="T384" s="107"/>
      <c r="U384" s="95"/>
      <c r="V384" s="95"/>
      <c r="W384" s="95"/>
      <c r="X384" s="95"/>
      <c r="Y384" s="95"/>
      <c r="Z384" s="95"/>
      <c r="AA384" s="95"/>
      <c r="AB384" s="95"/>
      <c r="AC384" s="95"/>
      <c r="AE384" s="127"/>
    </row>
    <row r="385" spans="19:31" ht="12" customHeight="1" x14ac:dyDescent="0.2">
      <c r="S385" s="107"/>
      <c r="T385" s="107"/>
      <c r="U385" s="95"/>
      <c r="V385" s="95"/>
      <c r="W385" s="95"/>
      <c r="X385" s="95"/>
      <c r="Y385" s="95"/>
      <c r="Z385" s="95"/>
      <c r="AA385" s="95"/>
      <c r="AB385" s="95"/>
      <c r="AC385" s="95"/>
      <c r="AD385" s="108"/>
      <c r="AE385" s="127"/>
    </row>
    <row r="386" spans="19:31" ht="12" customHeight="1" x14ac:dyDescent="0.2">
      <c r="S386" s="107"/>
      <c r="T386" s="107"/>
      <c r="U386" s="95"/>
      <c r="V386" s="95"/>
      <c r="W386" s="95"/>
      <c r="X386" s="95"/>
      <c r="Y386" s="95"/>
      <c r="Z386" s="95"/>
      <c r="AA386" s="95"/>
      <c r="AB386" s="95"/>
      <c r="AC386" s="95"/>
      <c r="AD386" s="108"/>
      <c r="AE386" s="127"/>
    </row>
    <row r="387" spans="19:31" ht="12" customHeight="1" x14ac:dyDescent="0.2">
      <c r="S387" s="107"/>
      <c r="T387" s="107"/>
      <c r="U387" s="95"/>
      <c r="V387" s="95"/>
      <c r="W387" s="95"/>
      <c r="X387" s="95"/>
      <c r="Y387" s="95"/>
      <c r="Z387" s="95"/>
      <c r="AA387" s="95"/>
      <c r="AB387" s="95"/>
      <c r="AC387" s="95"/>
      <c r="AE387" s="127"/>
    </row>
    <row r="388" spans="19:31" ht="12" customHeight="1" x14ac:dyDescent="0.2">
      <c r="S388" s="107"/>
      <c r="T388" s="107"/>
      <c r="U388" s="95"/>
      <c r="V388" s="95"/>
      <c r="W388" s="95"/>
      <c r="X388" s="95"/>
      <c r="Y388" s="95"/>
      <c r="Z388" s="95"/>
      <c r="AA388" s="95"/>
      <c r="AB388" s="95"/>
      <c r="AC388" s="95"/>
      <c r="AD388" s="108"/>
      <c r="AE388" s="127"/>
    </row>
    <row r="389" spans="19:31" ht="12" customHeight="1" x14ac:dyDescent="0.2">
      <c r="S389" s="107"/>
      <c r="T389" s="107"/>
      <c r="U389" s="95"/>
      <c r="V389" s="95"/>
      <c r="W389" s="95"/>
      <c r="X389" s="95"/>
      <c r="Y389" s="95"/>
      <c r="Z389" s="95"/>
      <c r="AA389" s="95"/>
      <c r="AB389" s="95"/>
      <c r="AC389" s="95"/>
      <c r="AD389" s="108"/>
      <c r="AE389" s="127"/>
    </row>
    <row r="390" spans="19:31" ht="12" customHeight="1" x14ac:dyDescent="0.2">
      <c r="S390" s="107"/>
      <c r="T390" s="107"/>
      <c r="U390" s="95"/>
      <c r="V390" s="95"/>
      <c r="W390" s="95"/>
      <c r="X390" s="95"/>
      <c r="Y390" s="95"/>
      <c r="Z390" s="95"/>
      <c r="AA390" s="95"/>
      <c r="AB390" s="95"/>
      <c r="AC390" s="95"/>
      <c r="AE390" s="127"/>
    </row>
    <row r="391" spans="19:31" ht="12" customHeight="1" x14ac:dyDescent="0.2">
      <c r="S391" s="107"/>
      <c r="T391" s="107"/>
      <c r="U391" s="95"/>
      <c r="V391" s="95"/>
      <c r="W391" s="95"/>
      <c r="X391" s="95"/>
      <c r="Y391" s="95"/>
      <c r="Z391" s="95"/>
      <c r="AA391" s="95"/>
      <c r="AB391" s="95"/>
      <c r="AC391" s="95"/>
      <c r="AD391" s="108"/>
      <c r="AE391" s="127"/>
    </row>
    <row r="392" spans="19:31" ht="12" customHeight="1" x14ac:dyDescent="0.2">
      <c r="S392" s="107"/>
      <c r="T392" s="107"/>
      <c r="U392" s="95"/>
      <c r="V392" s="95"/>
      <c r="W392" s="95"/>
      <c r="X392" s="95"/>
      <c r="Y392" s="95"/>
      <c r="Z392" s="95"/>
      <c r="AA392" s="95"/>
      <c r="AB392" s="95"/>
      <c r="AC392" s="95"/>
      <c r="AD392" s="108"/>
      <c r="AE392" s="127"/>
    </row>
    <row r="393" spans="19:31" ht="12" customHeight="1" x14ac:dyDescent="0.2">
      <c r="S393" s="107"/>
      <c r="T393" s="107"/>
      <c r="U393" s="95"/>
      <c r="V393" s="95"/>
      <c r="W393" s="95"/>
      <c r="X393" s="95"/>
      <c r="Y393" s="95"/>
      <c r="Z393" s="95"/>
      <c r="AA393" s="95"/>
      <c r="AB393" s="95"/>
      <c r="AC393" s="95"/>
      <c r="AD393" s="108"/>
      <c r="AE393" s="127"/>
    </row>
    <row r="394" spans="19:31" ht="12" customHeight="1" x14ac:dyDescent="0.2">
      <c r="S394" s="107"/>
      <c r="T394" s="107"/>
      <c r="U394" s="95"/>
      <c r="V394" s="95"/>
      <c r="W394" s="95"/>
      <c r="X394" s="95"/>
      <c r="Y394" s="95"/>
      <c r="Z394" s="95"/>
      <c r="AA394" s="95"/>
      <c r="AB394" s="95"/>
      <c r="AC394" s="95"/>
      <c r="AE394" s="127"/>
    </row>
    <row r="395" spans="19:31" ht="12" customHeight="1" x14ac:dyDescent="0.2">
      <c r="S395" s="107"/>
      <c r="T395" s="107"/>
      <c r="U395" s="95"/>
      <c r="V395" s="95"/>
      <c r="W395" s="95"/>
      <c r="X395" s="95"/>
      <c r="Y395" s="95"/>
      <c r="Z395" s="95"/>
      <c r="AA395" s="95"/>
      <c r="AB395" s="95"/>
      <c r="AC395" s="95"/>
      <c r="AD395" s="108"/>
      <c r="AE395" s="127"/>
    </row>
    <row r="396" spans="19:31" ht="12" customHeight="1" x14ac:dyDescent="0.2">
      <c r="S396" s="107"/>
      <c r="T396" s="107"/>
      <c r="U396" s="95"/>
      <c r="V396" s="95"/>
      <c r="W396" s="95"/>
      <c r="X396" s="95"/>
      <c r="Y396" s="95"/>
      <c r="Z396" s="95"/>
      <c r="AA396" s="95"/>
      <c r="AB396" s="95"/>
      <c r="AC396" s="95"/>
      <c r="AD396" s="108"/>
      <c r="AE396" s="127"/>
    </row>
    <row r="397" spans="19:31" ht="12" customHeight="1" x14ac:dyDescent="0.2">
      <c r="S397" s="107"/>
      <c r="T397" s="107"/>
      <c r="U397" s="95"/>
      <c r="V397" s="95"/>
      <c r="W397" s="95"/>
      <c r="X397" s="95"/>
      <c r="Y397" s="95"/>
      <c r="Z397" s="95"/>
      <c r="AA397" s="95"/>
      <c r="AB397" s="95"/>
      <c r="AC397" s="95"/>
      <c r="AE397" s="127"/>
    </row>
    <row r="398" spans="19:31" ht="12" customHeight="1" x14ac:dyDescent="0.2">
      <c r="S398" s="107"/>
      <c r="T398" s="107"/>
      <c r="U398" s="95"/>
      <c r="V398" s="95"/>
      <c r="W398" s="95"/>
      <c r="X398" s="95"/>
      <c r="Y398" s="95"/>
      <c r="Z398" s="95"/>
      <c r="AA398" s="95"/>
      <c r="AB398" s="95"/>
      <c r="AC398" s="95"/>
      <c r="AD398" s="108"/>
      <c r="AE398" s="127"/>
    </row>
    <row r="399" spans="19:31" ht="12" customHeight="1" x14ac:dyDescent="0.2">
      <c r="S399" s="107"/>
      <c r="T399" s="107"/>
      <c r="U399" s="95"/>
      <c r="V399" s="95"/>
      <c r="W399" s="95"/>
      <c r="X399" s="95"/>
      <c r="Y399" s="95"/>
      <c r="Z399" s="95"/>
      <c r="AA399" s="95"/>
      <c r="AB399" s="95"/>
      <c r="AC399" s="95"/>
      <c r="AD399" s="108"/>
      <c r="AE399" s="127"/>
    </row>
    <row r="400" spans="19:31" ht="12" customHeight="1" x14ac:dyDescent="0.2">
      <c r="S400" s="107"/>
      <c r="T400" s="107"/>
      <c r="U400" s="95"/>
      <c r="V400" s="95"/>
      <c r="W400" s="95"/>
      <c r="X400" s="95"/>
      <c r="Y400" s="95"/>
      <c r="Z400" s="95"/>
      <c r="AA400" s="95"/>
      <c r="AB400" s="95"/>
      <c r="AC400" s="95"/>
      <c r="AE400" s="127"/>
    </row>
    <row r="401" spans="19:31" ht="12" customHeight="1" x14ac:dyDescent="0.2">
      <c r="S401" s="107"/>
      <c r="T401" s="107"/>
      <c r="U401" s="95"/>
      <c r="V401" s="95"/>
      <c r="W401" s="95"/>
      <c r="X401" s="95"/>
      <c r="Y401" s="95"/>
      <c r="Z401" s="95"/>
      <c r="AA401" s="95"/>
      <c r="AB401" s="95"/>
      <c r="AC401" s="95"/>
      <c r="AD401" s="108"/>
      <c r="AE401" s="127"/>
    </row>
    <row r="402" spans="19:31" ht="12" customHeight="1" x14ac:dyDescent="0.2">
      <c r="S402" s="107"/>
      <c r="T402" s="107"/>
      <c r="U402" s="95"/>
      <c r="V402" s="95"/>
      <c r="W402" s="95"/>
      <c r="X402" s="95"/>
      <c r="Y402" s="95"/>
      <c r="Z402" s="95"/>
      <c r="AA402" s="95"/>
      <c r="AB402" s="95"/>
      <c r="AC402" s="95"/>
      <c r="AD402" s="108"/>
      <c r="AE402" s="127"/>
    </row>
    <row r="403" spans="19:31" ht="12" customHeight="1" x14ac:dyDescent="0.2">
      <c r="S403" s="107"/>
      <c r="T403" s="107"/>
      <c r="U403" s="95"/>
      <c r="V403" s="95"/>
      <c r="W403" s="95"/>
      <c r="X403" s="95"/>
      <c r="Y403" s="95"/>
      <c r="Z403" s="95"/>
      <c r="AA403" s="95"/>
      <c r="AB403" s="95"/>
      <c r="AC403" s="95"/>
      <c r="AD403" s="108"/>
      <c r="AE403" s="127"/>
    </row>
    <row r="404" spans="19:31" ht="12" customHeight="1" x14ac:dyDescent="0.2">
      <c r="S404" s="107"/>
      <c r="T404" s="107"/>
      <c r="U404" s="95"/>
      <c r="V404" s="95"/>
      <c r="W404" s="95"/>
      <c r="X404" s="95"/>
      <c r="Y404" s="95"/>
      <c r="Z404" s="95"/>
      <c r="AA404" s="95"/>
      <c r="AB404" s="95"/>
      <c r="AC404" s="95"/>
      <c r="AD404" s="108"/>
      <c r="AE404" s="127"/>
    </row>
    <row r="405" spans="19:31" ht="12" customHeight="1" x14ac:dyDescent="0.2">
      <c r="S405" s="107"/>
      <c r="T405" s="107"/>
      <c r="U405" s="95"/>
      <c r="V405" s="95"/>
      <c r="W405" s="95"/>
      <c r="X405" s="95"/>
      <c r="Y405" s="95"/>
      <c r="Z405" s="95"/>
      <c r="AA405" s="95"/>
      <c r="AB405" s="95"/>
      <c r="AC405" s="95"/>
      <c r="AE405" s="127"/>
    </row>
    <row r="406" spans="19:31" ht="12" customHeight="1" x14ac:dyDescent="0.2">
      <c r="S406" s="107"/>
      <c r="T406" s="107"/>
      <c r="U406" s="95"/>
      <c r="V406" s="95"/>
      <c r="W406" s="95"/>
      <c r="X406" s="95"/>
      <c r="Y406" s="95"/>
      <c r="Z406" s="95"/>
      <c r="AA406" s="95"/>
      <c r="AB406" s="95"/>
      <c r="AC406" s="95"/>
      <c r="AD406" s="108"/>
      <c r="AE406" s="127"/>
    </row>
    <row r="407" spans="19:31" ht="12" customHeight="1" x14ac:dyDescent="0.2">
      <c r="S407" s="107"/>
      <c r="T407" s="107"/>
      <c r="U407" s="95"/>
      <c r="V407" s="95"/>
      <c r="W407" s="95"/>
      <c r="X407" s="95"/>
      <c r="Y407" s="95"/>
      <c r="Z407" s="95"/>
      <c r="AA407" s="95"/>
      <c r="AB407" s="95"/>
      <c r="AC407" s="95"/>
      <c r="AD407" s="108"/>
      <c r="AE407" s="127"/>
    </row>
    <row r="408" spans="19:31" ht="12" customHeight="1" x14ac:dyDescent="0.2">
      <c r="S408" s="107"/>
      <c r="T408" s="107"/>
      <c r="U408" s="95"/>
      <c r="V408" s="95"/>
      <c r="W408" s="95"/>
      <c r="X408" s="95"/>
      <c r="Y408" s="95"/>
      <c r="Z408" s="95"/>
      <c r="AA408" s="95"/>
      <c r="AB408" s="95"/>
      <c r="AC408" s="95"/>
      <c r="AD408" s="108"/>
      <c r="AE408" s="127"/>
    </row>
    <row r="409" spans="19:31" ht="12" customHeight="1" x14ac:dyDescent="0.2">
      <c r="S409" s="107"/>
      <c r="T409" s="107"/>
      <c r="U409" s="95"/>
      <c r="V409" s="95"/>
      <c r="W409" s="95"/>
      <c r="X409" s="95"/>
      <c r="Y409" s="95"/>
      <c r="Z409" s="95"/>
      <c r="AA409" s="95"/>
      <c r="AB409" s="95"/>
      <c r="AC409" s="95"/>
      <c r="AE409" s="127"/>
    </row>
    <row r="410" spans="19:31" ht="12" customHeight="1" x14ac:dyDescent="0.2">
      <c r="S410" s="107"/>
      <c r="T410" s="107"/>
      <c r="U410" s="95"/>
      <c r="V410" s="95"/>
      <c r="W410" s="95"/>
      <c r="X410" s="95"/>
      <c r="Y410" s="95"/>
      <c r="Z410" s="95"/>
      <c r="AA410" s="95"/>
      <c r="AB410" s="95"/>
      <c r="AC410" s="95"/>
      <c r="AE410" s="127"/>
    </row>
    <row r="411" spans="19:31" ht="12" customHeight="1" x14ac:dyDescent="0.2">
      <c r="S411" s="93"/>
      <c r="T411" s="107"/>
      <c r="U411" s="108"/>
      <c r="V411" s="95"/>
      <c r="W411" s="95"/>
      <c r="X411" s="95"/>
      <c r="Y411" s="95"/>
      <c r="Z411" s="95"/>
      <c r="AA411" s="95"/>
      <c r="AB411" s="95"/>
      <c r="AC411" s="95"/>
      <c r="AE411" s="127"/>
    </row>
    <row r="412" spans="19:31" ht="12" customHeight="1" x14ac:dyDescent="0.2">
      <c r="S412" s="107"/>
      <c r="T412" s="107"/>
      <c r="U412" s="95"/>
      <c r="V412" s="95"/>
      <c r="W412" s="95"/>
      <c r="X412" s="95"/>
      <c r="Y412" s="95"/>
      <c r="Z412" s="95"/>
      <c r="AA412" s="95"/>
      <c r="AB412" s="95"/>
      <c r="AC412" s="95"/>
      <c r="AD412" s="108"/>
      <c r="AE412" s="127"/>
    </row>
    <row r="413" spans="19:31" ht="12" customHeight="1" x14ac:dyDescent="0.2">
      <c r="S413" s="107"/>
      <c r="T413" s="107"/>
      <c r="U413" s="95"/>
      <c r="V413" s="95"/>
      <c r="W413" s="95"/>
      <c r="X413" s="95"/>
      <c r="Y413" s="95"/>
      <c r="Z413" s="95"/>
      <c r="AA413" s="95"/>
      <c r="AB413" s="95"/>
      <c r="AC413" s="95"/>
      <c r="AD413" s="108"/>
      <c r="AE413" s="127"/>
    </row>
    <row r="414" spans="19:31" ht="12" customHeight="1" x14ac:dyDescent="0.2">
      <c r="S414" s="107"/>
      <c r="T414" s="107"/>
      <c r="U414" s="95"/>
      <c r="V414" s="95"/>
      <c r="W414" s="95"/>
      <c r="X414" s="95"/>
      <c r="Y414" s="95"/>
      <c r="Z414" s="95"/>
      <c r="AA414" s="95"/>
      <c r="AB414" s="95"/>
      <c r="AC414" s="95"/>
      <c r="AD414" s="108"/>
      <c r="AE414" s="127"/>
    </row>
    <row r="415" spans="19:31" ht="12" customHeight="1" x14ac:dyDescent="0.2">
      <c r="S415" s="107"/>
      <c r="T415" s="107"/>
      <c r="U415" s="95"/>
      <c r="V415" s="95"/>
      <c r="W415" s="95"/>
      <c r="X415" s="95"/>
      <c r="Y415" s="95"/>
      <c r="Z415" s="95"/>
      <c r="AA415" s="95"/>
      <c r="AB415" s="95"/>
      <c r="AC415" s="95"/>
      <c r="AE415" s="127"/>
    </row>
    <row r="416" spans="19:31" ht="12" customHeight="1" x14ac:dyDescent="0.2">
      <c r="S416" s="107"/>
      <c r="T416" s="107"/>
      <c r="U416" s="95"/>
      <c r="V416" s="95"/>
      <c r="W416" s="95"/>
      <c r="X416" s="95"/>
      <c r="Y416" s="95"/>
      <c r="Z416" s="95"/>
      <c r="AA416" s="95"/>
      <c r="AB416" s="95"/>
      <c r="AC416" s="95"/>
      <c r="AD416" s="108"/>
      <c r="AE416" s="127"/>
    </row>
    <row r="417" spans="19:31" ht="12" customHeight="1" x14ac:dyDescent="0.2">
      <c r="S417" s="107"/>
      <c r="T417" s="107"/>
      <c r="U417" s="95"/>
      <c r="V417" s="95"/>
      <c r="W417" s="95"/>
      <c r="X417" s="95"/>
      <c r="Y417" s="95"/>
      <c r="Z417" s="95"/>
      <c r="AA417" s="95"/>
      <c r="AB417" s="95"/>
      <c r="AC417" s="95"/>
      <c r="AD417" s="108"/>
      <c r="AE417" s="127"/>
    </row>
    <row r="418" spans="19:31" ht="12" customHeight="1" x14ac:dyDescent="0.2">
      <c r="S418" s="107"/>
      <c r="T418" s="107"/>
      <c r="U418" s="95"/>
      <c r="V418" s="95"/>
      <c r="W418" s="95"/>
      <c r="X418" s="95"/>
      <c r="Y418" s="95"/>
      <c r="Z418" s="95"/>
      <c r="AA418" s="95"/>
      <c r="AB418" s="95"/>
      <c r="AC418" s="95"/>
      <c r="AD418" s="108"/>
      <c r="AE418" s="127"/>
    </row>
    <row r="419" spans="19:31" ht="12" customHeight="1" x14ac:dyDescent="0.2">
      <c r="S419" s="107"/>
      <c r="T419" s="107"/>
      <c r="U419" s="95"/>
      <c r="V419" s="95"/>
      <c r="W419" s="95"/>
      <c r="X419" s="95"/>
      <c r="Y419" s="95"/>
      <c r="Z419" s="95"/>
      <c r="AA419" s="95"/>
      <c r="AB419" s="95"/>
      <c r="AC419" s="95"/>
      <c r="AD419" s="108"/>
      <c r="AE419" s="127"/>
    </row>
    <row r="420" spans="19:31" ht="12" customHeight="1" x14ac:dyDescent="0.2">
      <c r="U420" s="95"/>
      <c r="V420" s="95"/>
      <c r="W420" s="95"/>
      <c r="X420" s="95"/>
      <c r="Y420" s="95"/>
      <c r="Z420" s="95"/>
      <c r="AA420" s="95"/>
      <c r="AB420" s="95"/>
      <c r="AC420" s="95"/>
      <c r="AE420" s="127"/>
    </row>
    <row r="421" spans="19:31" ht="12" customHeight="1" x14ac:dyDescent="0.2">
      <c r="S421" s="107"/>
      <c r="U421" s="95"/>
      <c r="V421" s="95"/>
      <c r="W421" s="95"/>
      <c r="X421" s="95"/>
      <c r="Y421" s="95"/>
      <c r="Z421" s="95"/>
      <c r="AA421" s="95"/>
      <c r="AB421" s="95"/>
      <c r="AC421" s="95"/>
      <c r="AD421" s="108"/>
      <c r="AE421" s="127"/>
    </row>
    <row r="422" spans="19:31" ht="12" customHeight="1" x14ac:dyDescent="0.2">
      <c r="S422" s="107"/>
      <c r="U422" s="95"/>
      <c r="V422" s="95"/>
      <c r="W422" s="95"/>
      <c r="X422" s="95"/>
      <c r="Y422" s="95"/>
      <c r="Z422" s="95"/>
      <c r="AA422" s="95"/>
      <c r="AB422" s="95"/>
      <c r="AC422" s="95"/>
      <c r="AD422" s="108"/>
      <c r="AE422" s="127"/>
    </row>
    <row r="423" spans="19:31" ht="12" customHeight="1" x14ac:dyDescent="0.2">
      <c r="U423" s="95"/>
      <c r="V423" s="95"/>
      <c r="W423" s="95"/>
      <c r="X423" s="95"/>
      <c r="Y423" s="95"/>
      <c r="Z423" s="95"/>
      <c r="AA423" s="95"/>
      <c r="AB423" s="95"/>
      <c r="AC423" s="95"/>
      <c r="AE423" s="127"/>
    </row>
    <row r="424" spans="19:31" ht="12" customHeight="1" x14ac:dyDescent="0.2">
      <c r="S424" s="107"/>
      <c r="T424" s="107"/>
      <c r="U424" s="95"/>
      <c r="V424" s="95"/>
      <c r="W424" s="95"/>
      <c r="X424" s="95"/>
      <c r="Y424" s="95"/>
      <c r="Z424" s="95"/>
      <c r="AA424" s="95"/>
      <c r="AB424" s="95"/>
      <c r="AC424" s="95"/>
      <c r="AD424" s="108"/>
      <c r="AE424" s="127"/>
    </row>
    <row r="425" spans="19:31" ht="12" customHeight="1" x14ac:dyDescent="0.2">
      <c r="S425" s="107"/>
      <c r="T425" s="107"/>
      <c r="U425" s="95"/>
      <c r="V425" s="95"/>
      <c r="W425" s="95"/>
      <c r="X425" s="95"/>
      <c r="Y425" s="95"/>
      <c r="Z425" s="95"/>
      <c r="AA425" s="95"/>
      <c r="AB425" s="95"/>
      <c r="AC425" s="95"/>
      <c r="AD425" s="108"/>
      <c r="AE425" s="127"/>
    </row>
    <row r="426" spans="19:31" ht="12" customHeight="1" x14ac:dyDescent="0.2">
      <c r="S426" s="107"/>
      <c r="T426" s="107"/>
      <c r="U426" s="95"/>
      <c r="V426" s="95"/>
      <c r="W426" s="95"/>
      <c r="X426" s="95"/>
      <c r="Y426" s="95"/>
      <c r="Z426" s="95"/>
      <c r="AA426" s="95"/>
      <c r="AB426" s="95"/>
      <c r="AC426" s="95"/>
      <c r="AD426" s="108"/>
      <c r="AE426" s="127"/>
    </row>
    <row r="427" spans="19:31" ht="12" customHeight="1" x14ac:dyDescent="0.2">
      <c r="S427" s="107"/>
      <c r="T427" s="107"/>
      <c r="U427" s="95"/>
      <c r="V427" s="95"/>
      <c r="W427" s="95"/>
      <c r="X427" s="95"/>
      <c r="Y427" s="95"/>
      <c r="Z427" s="95"/>
      <c r="AA427" s="95"/>
      <c r="AB427" s="95"/>
      <c r="AC427" s="95"/>
      <c r="AD427" s="108"/>
      <c r="AE427" s="127"/>
    </row>
    <row r="428" spans="19:31" ht="12" customHeight="1" x14ac:dyDescent="0.2">
      <c r="S428" s="107"/>
      <c r="T428" s="107"/>
      <c r="U428" s="95"/>
      <c r="V428" s="95"/>
      <c r="W428" s="95"/>
      <c r="X428" s="95"/>
      <c r="Y428" s="95"/>
      <c r="Z428" s="95"/>
      <c r="AA428" s="95"/>
      <c r="AB428" s="95"/>
      <c r="AC428" s="95"/>
      <c r="AD428" s="108"/>
      <c r="AE428" s="127"/>
    </row>
    <row r="429" spans="19:31" ht="12" customHeight="1" x14ac:dyDescent="0.2">
      <c r="U429" s="95"/>
      <c r="V429" s="95"/>
      <c r="W429" s="95"/>
      <c r="X429" s="95"/>
      <c r="Y429" s="95"/>
      <c r="Z429" s="95"/>
      <c r="AA429" s="95"/>
      <c r="AB429" s="95"/>
      <c r="AC429" s="95"/>
      <c r="AE429" s="127"/>
    </row>
    <row r="430" spans="19:31" ht="12" customHeight="1" x14ac:dyDescent="0.2">
      <c r="S430" s="107"/>
      <c r="T430" s="107"/>
      <c r="U430" s="95"/>
      <c r="V430" s="95"/>
      <c r="W430" s="95"/>
      <c r="X430" s="95"/>
      <c r="Y430" s="95"/>
      <c r="Z430" s="95"/>
      <c r="AA430" s="95"/>
      <c r="AB430" s="95"/>
      <c r="AC430" s="95"/>
      <c r="AD430" s="108"/>
      <c r="AE430" s="127"/>
    </row>
    <row r="431" spans="19:31" ht="12" customHeight="1" x14ac:dyDescent="0.2">
      <c r="S431" s="107"/>
      <c r="T431" s="107"/>
      <c r="U431" s="95"/>
      <c r="V431" s="95"/>
      <c r="W431" s="95"/>
      <c r="X431" s="95"/>
      <c r="Y431" s="95"/>
      <c r="Z431" s="95"/>
      <c r="AA431" s="95"/>
      <c r="AB431" s="95"/>
      <c r="AC431" s="95"/>
      <c r="AD431" s="108"/>
      <c r="AE431" s="127"/>
    </row>
    <row r="432" spans="19:31" ht="12" customHeight="1" x14ac:dyDescent="0.2">
      <c r="U432" s="95"/>
      <c r="V432" s="95"/>
      <c r="W432" s="95"/>
      <c r="X432" s="95"/>
      <c r="Y432" s="95"/>
      <c r="Z432" s="95"/>
      <c r="AA432" s="95"/>
      <c r="AB432" s="95"/>
      <c r="AC432" s="95"/>
      <c r="AE432" s="127"/>
    </row>
    <row r="433" spans="19:31" ht="12" customHeight="1" x14ac:dyDescent="0.2">
      <c r="S433" s="107"/>
      <c r="T433" s="107"/>
      <c r="U433" s="95"/>
      <c r="V433" s="95"/>
      <c r="W433" s="95"/>
      <c r="X433" s="95"/>
      <c r="Y433" s="95"/>
      <c r="Z433" s="95"/>
      <c r="AA433" s="95"/>
      <c r="AB433" s="95"/>
      <c r="AC433" s="95"/>
      <c r="AD433" s="108"/>
      <c r="AE433" s="127"/>
    </row>
    <row r="434" spans="19:31" ht="12" customHeight="1" x14ac:dyDescent="0.2">
      <c r="S434" s="107"/>
      <c r="T434" s="107"/>
      <c r="U434" s="95"/>
      <c r="V434" s="95"/>
      <c r="W434" s="95"/>
      <c r="X434" s="95"/>
      <c r="Y434" s="95"/>
      <c r="Z434" s="95"/>
      <c r="AA434" s="95"/>
      <c r="AB434" s="95"/>
      <c r="AC434" s="95"/>
      <c r="AD434" s="108"/>
      <c r="AE434" s="127"/>
    </row>
    <row r="435" spans="19:31" ht="12" customHeight="1" x14ac:dyDescent="0.2">
      <c r="S435" s="107"/>
      <c r="T435" s="107"/>
      <c r="U435" s="95"/>
      <c r="V435" s="95"/>
      <c r="W435" s="95"/>
      <c r="X435" s="95"/>
      <c r="Y435" s="95"/>
      <c r="Z435" s="95"/>
      <c r="AA435" s="95"/>
      <c r="AB435" s="95"/>
      <c r="AC435" s="95"/>
      <c r="AD435" s="108"/>
      <c r="AE435" s="127"/>
    </row>
    <row r="436" spans="19:31" ht="12" customHeight="1" x14ac:dyDescent="0.2">
      <c r="S436" s="107"/>
      <c r="T436" s="107"/>
      <c r="U436" s="95"/>
      <c r="V436" s="95"/>
      <c r="W436" s="95"/>
      <c r="X436" s="95"/>
      <c r="Y436" s="95"/>
      <c r="Z436" s="95"/>
      <c r="AA436" s="95"/>
      <c r="AB436" s="95"/>
      <c r="AC436" s="95"/>
      <c r="AD436" s="108"/>
      <c r="AE436" s="127"/>
    </row>
    <row r="437" spans="19:31" ht="12" customHeight="1" x14ac:dyDescent="0.2">
      <c r="S437" s="107"/>
      <c r="T437" s="107"/>
      <c r="U437" s="95"/>
      <c r="V437" s="95"/>
      <c r="W437" s="95"/>
      <c r="X437" s="95"/>
      <c r="Y437" s="95"/>
      <c r="Z437" s="95"/>
      <c r="AA437" s="95"/>
      <c r="AB437" s="95"/>
      <c r="AC437" s="95"/>
      <c r="AD437" s="108"/>
      <c r="AE437" s="127"/>
    </row>
    <row r="438" spans="19:31" ht="12" customHeight="1" x14ac:dyDescent="0.2">
      <c r="S438" s="107"/>
      <c r="T438" s="107"/>
      <c r="U438" s="95"/>
      <c r="V438" s="95"/>
      <c r="W438" s="95"/>
      <c r="X438" s="95"/>
      <c r="Y438" s="95"/>
      <c r="Z438" s="95"/>
      <c r="AA438" s="95"/>
      <c r="AB438" s="95"/>
      <c r="AC438" s="95"/>
      <c r="AD438" s="108"/>
      <c r="AE438" s="127"/>
    </row>
    <row r="439" spans="19:31" ht="12" customHeight="1" x14ac:dyDescent="0.2">
      <c r="S439" s="107"/>
      <c r="T439" s="107"/>
      <c r="U439" s="95"/>
      <c r="V439" s="95"/>
      <c r="W439" s="95"/>
      <c r="X439" s="95"/>
      <c r="Y439" s="95"/>
      <c r="Z439" s="95"/>
      <c r="AA439" s="95"/>
      <c r="AB439" s="95"/>
      <c r="AC439" s="95"/>
      <c r="AE439" s="127"/>
    </row>
    <row r="440" spans="19:31" ht="12" customHeight="1" x14ac:dyDescent="0.2">
      <c r="S440" s="107"/>
      <c r="T440" s="107"/>
      <c r="U440" s="95"/>
      <c r="V440" s="95"/>
      <c r="W440" s="95"/>
      <c r="X440" s="95"/>
      <c r="Y440" s="95"/>
      <c r="Z440" s="95"/>
      <c r="AA440" s="95"/>
      <c r="AB440" s="95"/>
      <c r="AC440" s="95"/>
      <c r="AD440" s="108"/>
      <c r="AE440" s="127"/>
    </row>
    <row r="441" spans="19:31" ht="12" customHeight="1" x14ac:dyDescent="0.2">
      <c r="S441" s="107"/>
      <c r="T441" s="107"/>
      <c r="U441" s="95"/>
      <c r="V441" s="95"/>
      <c r="W441" s="95"/>
      <c r="X441" s="95"/>
      <c r="Y441" s="95"/>
      <c r="Z441" s="95"/>
      <c r="AA441" s="95"/>
      <c r="AB441" s="95"/>
      <c r="AC441" s="95"/>
      <c r="AD441" s="108"/>
      <c r="AE441" s="127"/>
    </row>
    <row r="442" spans="19:31" ht="12" customHeight="1" x14ac:dyDescent="0.2">
      <c r="S442" s="107"/>
      <c r="T442" s="107"/>
      <c r="U442" s="95"/>
      <c r="V442" s="95"/>
      <c r="W442" s="95"/>
      <c r="X442" s="95"/>
      <c r="Y442" s="95"/>
      <c r="Z442" s="95"/>
      <c r="AA442" s="95"/>
      <c r="AB442" s="95"/>
      <c r="AC442" s="95"/>
      <c r="AD442" s="108"/>
      <c r="AE442" s="127"/>
    </row>
    <row r="443" spans="19:31" ht="12" customHeight="1" x14ac:dyDescent="0.2">
      <c r="S443" s="107"/>
      <c r="T443" s="107"/>
      <c r="U443" s="95"/>
      <c r="V443" s="95"/>
      <c r="W443" s="95"/>
      <c r="X443" s="95"/>
      <c r="Y443" s="95"/>
      <c r="Z443" s="95"/>
      <c r="AA443" s="95"/>
      <c r="AB443" s="95"/>
      <c r="AC443" s="95"/>
      <c r="AE443" s="127"/>
    </row>
    <row r="444" spans="19:31" ht="12" customHeight="1" x14ac:dyDescent="0.2">
      <c r="S444" s="107"/>
      <c r="T444" s="107"/>
      <c r="U444" s="95"/>
      <c r="V444" s="95"/>
      <c r="W444" s="95"/>
      <c r="X444" s="95"/>
      <c r="Y444" s="95"/>
      <c r="Z444" s="95"/>
      <c r="AA444" s="95"/>
      <c r="AB444" s="95"/>
      <c r="AC444" s="95"/>
      <c r="AD444" s="108"/>
      <c r="AE444" s="127"/>
    </row>
    <row r="445" spans="19:31" ht="12" customHeight="1" x14ac:dyDescent="0.2">
      <c r="S445" s="107"/>
      <c r="T445" s="107"/>
      <c r="U445" s="95"/>
      <c r="V445" s="95"/>
      <c r="W445" s="95"/>
      <c r="X445" s="95"/>
      <c r="Y445" s="95"/>
      <c r="Z445" s="95"/>
      <c r="AA445" s="95"/>
      <c r="AB445" s="95"/>
      <c r="AC445" s="95"/>
      <c r="AD445" s="108"/>
      <c r="AE445" s="127"/>
    </row>
    <row r="446" spans="19:31" ht="12" customHeight="1" x14ac:dyDescent="0.2">
      <c r="S446" s="107"/>
      <c r="T446" s="107"/>
      <c r="U446" s="95"/>
      <c r="V446" s="95"/>
      <c r="W446" s="95"/>
      <c r="X446" s="95"/>
      <c r="Y446" s="95"/>
      <c r="Z446" s="95"/>
      <c r="AA446" s="95"/>
      <c r="AB446" s="95"/>
      <c r="AC446" s="95"/>
      <c r="AE446" s="127"/>
    </row>
    <row r="447" spans="19:31" ht="12" customHeight="1" x14ac:dyDescent="0.2">
      <c r="S447" s="107"/>
      <c r="T447" s="107"/>
      <c r="U447" s="95"/>
      <c r="V447" s="95"/>
      <c r="W447" s="95"/>
      <c r="X447" s="95"/>
      <c r="Y447" s="95"/>
      <c r="Z447" s="95"/>
      <c r="AA447" s="95"/>
      <c r="AB447" s="95"/>
      <c r="AC447" s="95"/>
      <c r="AD447" s="108"/>
      <c r="AE447" s="127"/>
    </row>
    <row r="448" spans="19:31" ht="12" customHeight="1" x14ac:dyDescent="0.2">
      <c r="S448" s="107"/>
      <c r="T448" s="107"/>
      <c r="U448" s="95"/>
      <c r="V448" s="95"/>
      <c r="W448" s="95"/>
      <c r="X448" s="95"/>
      <c r="Y448" s="95"/>
      <c r="Z448" s="95"/>
      <c r="AA448" s="95"/>
      <c r="AB448" s="95"/>
      <c r="AC448" s="95"/>
      <c r="AD448" s="108"/>
      <c r="AE448" s="127"/>
    </row>
    <row r="449" spans="19:31" ht="12" customHeight="1" x14ac:dyDescent="0.2">
      <c r="S449" s="107"/>
      <c r="T449" s="107"/>
      <c r="U449" s="95"/>
      <c r="V449" s="95"/>
      <c r="W449" s="95"/>
      <c r="X449" s="95"/>
      <c r="Y449" s="95"/>
      <c r="Z449" s="95"/>
      <c r="AA449" s="95"/>
      <c r="AB449" s="95"/>
      <c r="AC449" s="95"/>
      <c r="AD449" s="108"/>
      <c r="AE449" s="127"/>
    </row>
    <row r="450" spans="19:31" ht="12" customHeight="1" x14ac:dyDescent="0.2">
      <c r="S450" s="107"/>
      <c r="T450" s="107"/>
      <c r="U450" s="95"/>
      <c r="V450" s="95"/>
      <c r="W450" s="95"/>
      <c r="X450" s="95"/>
      <c r="Y450" s="95"/>
      <c r="Z450" s="95"/>
      <c r="AA450" s="95"/>
      <c r="AB450" s="95"/>
      <c r="AC450" s="95"/>
      <c r="AE450" s="127"/>
    </row>
    <row r="451" spans="19:31" ht="12" customHeight="1" x14ac:dyDescent="0.2">
      <c r="S451" s="107"/>
      <c r="T451" s="107"/>
      <c r="U451" s="95"/>
      <c r="V451" s="95"/>
      <c r="W451" s="95"/>
      <c r="X451" s="95"/>
      <c r="Y451" s="95"/>
      <c r="Z451" s="95"/>
      <c r="AA451" s="95"/>
      <c r="AB451" s="95"/>
      <c r="AC451" s="95"/>
      <c r="AD451" s="108"/>
      <c r="AE451" s="127"/>
    </row>
    <row r="452" spans="19:31" ht="12" customHeight="1" x14ac:dyDescent="0.2">
      <c r="S452" s="107"/>
      <c r="T452" s="107"/>
      <c r="U452" s="95"/>
      <c r="V452" s="95"/>
      <c r="W452" s="95"/>
      <c r="X452" s="95"/>
      <c r="Y452" s="95"/>
      <c r="Z452" s="95"/>
      <c r="AA452" s="95"/>
      <c r="AB452" s="95"/>
      <c r="AC452" s="95"/>
      <c r="AD452" s="108"/>
      <c r="AE452" s="127"/>
    </row>
    <row r="453" spans="19:31" ht="12" customHeight="1" x14ac:dyDescent="0.2">
      <c r="S453" s="107"/>
      <c r="T453" s="107"/>
      <c r="U453" s="95"/>
      <c r="V453" s="95"/>
      <c r="W453" s="95"/>
      <c r="X453" s="95"/>
      <c r="Y453" s="95"/>
      <c r="Z453" s="95"/>
      <c r="AA453" s="95"/>
      <c r="AB453" s="95"/>
      <c r="AC453" s="95"/>
      <c r="AE453" s="127"/>
    </row>
    <row r="454" spans="19:31" ht="12" customHeight="1" x14ac:dyDescent="0.2">
      <c r="S454" s="107"/>
      <c r="T454" s="107"/>
      <c r="U454" s="95"/>
      <c r="V454" s="95"/>
      <c r="W454" s="95"/>
      <c r="X454" s="95"/>
      <c r="Y454" s="95"/>
      <c r="Z454" s="95"/>
      <c r="AA454" s="95"/>
      <c r="AB454" s="95"/>
      <c r="AC454" s="95"/>
      <c r="AD454" s="108"/>
      <c r="AE454" s="127"/>
    </row>
    <row r="455" spans="19:31" ht="12" customHeight="1" x14ac:dyDescent="0.2">
      <c r="S455" s="107"/>
      <c r="T455" s="107"/>
      <c r="U455" s="95"/>
      <c r="V455" s="95"/>
      <c r="W455" s="95"/>
      <c r="X455" s="95"/>
      <c r="Y455" s="95"/>
      <c r="Z455" s="95"/>
      <c r="AA455" s="95"/>
      <c r="AB455" s="95"/>
      <c r="AC455" s="95"/>
      <c r="AD455" s="108"/>
      <c r="AE455" s="127"/>
    </row>
    <row r="456" spans="19:31" ht="12" customHeight="1" x14ac:dyDescent="0.2">
      <c r="S456" s="107"/>
      <c r="T456" s="107"/>
      <c r="U456" s="95"/>
      <c r="V456" s="95"/>
      <c r="W456" s="95"/>
      <c r="X456" s="95"/>
      <c r="Y456" s="95"/>
      <c r="Z456" s="95"/>
      <c r="AA456" s="95"/>
      <c r="AB456" s="95"/>
      <c r="AC456" s="95"/>
      <c r="AE456" s="127"/>
    </row>
    <row r="457" spans="19:31" ht="12" customHeight="1" x14ac:dyDescent="0.2">
      <c r="S457" s="107"/>
      <c r="T457" s="107"/>
      <c r="U457" s="95"/>
      <c r="V457" s="95"/>
      <c r="W457" s="95"/>
      <c r="X457" s="95"/>
      <c r="Y457" s="95"/>
      <c r="Z457" s="95"/>
      <c r="AA457" s="95"/>
      <c r="AB457" s="95"/>
      <c r="AC457" s="95"/>
      <c r="AD457" s="108"/>
      <c r="AE457" s="127"/>
    </row>
    <row r="458" spans="19:31" ht="12" customHeight="1" x14ac:dyDescent="0.2">
      <c r="S458" s="107"/>
      <c r="T458" s="107"/>
      <c r="U458" s="95"/>
      <c r="V458" s="95"/>
      <c r="W458" s="95"/>
      <c r="X458" s="95"/>
      <c r="Y458" s="95"/>
      <c r="Z458" s="95"/>
      <c r="AA458" s="95"/>
      <c r="AB458" s="95"/>
      <c r="AC458" s="95"/>
      <c r="AD458" s="108"/>
      <c r="AE458" s="127"/>
    </row>
    <row r="459" spans="19:31" ht="12" customHeight="1" x14ac:dyDescent="0.2">
      <c r="S459" s="107"/>
      <c r="T459" s="107"/>
      <c r="U459" s="95"/>
      <c r="V459" s="95"/>
      <c r="W459" s="95"/>
      <c r="X459" s="95"/>
      <c r="Y459" s="95"/>
      <c r="Z459" s="95"/>
      <c r="AA459" s="95"/>
      <c r="AB459" s="95"/>
      <c r="AC459" s="95"/>
      <c r="AE459" s="127"/>
    </row>
    <row r="460" spans="19:31" ht="12" customHeight="1" x14ac:dyDescent="0.2">
      <c r="S460" s="107"/>
      <c r="T460" s="107"/>
      <c r="U460" s="95"/>
      <c r="V460" s="95"/>
      <c r="W460" s="95"/>
      <c r="X460" s="95"/>
      <c r="Y460" s="95"/>
      <c r="Z460" s="95"/>
      <c r="AA460" s="95"/>
      <c r="AB460" s="95"/>
      <c r="AC460" s="95"/>
      <c r="AD460" s="108"/>
      <c r="AE460" s="127"/>
    </row>
    <row r="461" spans="19:31" ht="12" customHeight="1" x14ac:dyDescent="0.2">
      <c r="S461" s="107"/>
      <c r="T461" s="107"/>
      <c r="U461" s="95"/>
      <c r="V461" s="95"/>
      <c r="W461" s="95"/>
      <c r="X461" s="95"/>
      <c r="Y461" s="95"/>
      <c r="Z461" s="95"/>
      <c r="AA461" s="95"/>
      <c r="AB461" s="95"/>
      <c r="AC461" s="95"/>
      <c r="AD461" s="108"/>
      <c r="AE461" s="127"/>
    </row>
    <row r="462" spans="19:31" ht="12" customHeight="1" x14ac:dyDescent="0.2">
      <c r="S462" s="107"/>
      <c r="T462" s="107"/>
      <c r="U462" s="95"/>
      <c r="V462" s="95"/>
      <c r="W462" s="95"/>
      <c r="X462" s="95"/>
      <c r="Y462" s="95"/>
      <c r="Z462" s="95"/>
      <c r="AA462" s="95"/>
      <c r="AB462" s="95"/>
      <c r="AC462" s="95"/>
      <c r="AE462" s="127"/>
    </row>
    <row r="463" spans="19:31" ht="12" customHeight="1" x14ac:dyDescent="0.2">
      <c r="S463" s="107"/>
      <c r="T463" s="107"/>
      <c r="U463" s="95"/>
      <c r="V463" s="95"/>
      <c r="W463" s="95"/>
      <c r="X463" s="95"/>
      <c r="Y463" s="95"/>
      <c r="Z463" s="95"/>
      <c r="AA463" s="95"/>
      <c r="AB463" s="95"/>
      <c r="AC463" s="95"/>
      <c r="AD463" s="108"/>
      <c r="AE463" s="127"/>
    </row>
    <row r="464" spans="19:31" ht="12" customHeight="1" x14ac:dyDescent="0.2">
      <c r="S464" s="107"/>
      <c r="T464" s="107"/>
      <c r="U464" s="95"/>
      <c r="V464" s="95"/>
      <c r="W464" s="95"/>
      <c r="X464" s="95"/>
      <c r="Y464" s="95"/>
      <c r="Z464" s="95"/>
      <c r="AA464" s="95"/>
      <c r="AB464" s="95"/>
      <c r="AC464" s="95"/>
      <c r="AD464" s="108"/>
      <c r="AE464" s="127"/>
    </row>
    <row r="465" spans="1:31" ht="12" customHeight="1" x14ac:dyDescent="0.2">
      <c r="S465" s="107"/>
      <c r="T465" s="107"/>
      <c r="U465" s="95"/>
      <c r="V465" s="95"/>
      <c r="W465" s="95"/>
      <c r="X465" s="95"/>
      <c r="Y465" s="95"/>
      <c r="Z465" s="95"/>
      <c r="AA465" s="95"/>
      <c r="AB465" s="95"/>
      <c r="AC465" s="95"/>
      <c r="AD465" s="108"/>
      <c r="AE465" s="127"/>
    </row>
    <row r="466" spans="1:31" ht="12" customHeight="1" x14ac:dyDescent="0.2">
      <c r="S466" s="107"/>
      <c r="T466" s="107"/>
      <c r="U466" s="95"/>
      <c r="V466" s="95"/>
      <c r="W466" s="95"/>
      <c r="X466" s="95"/>
      <c r="Y466" s="95"/>
      <c r="Z466" s="95"/>
      <c r="AA466" s="95"/>
      <c r="AB466" s="95"/>
      <c r="AC466" s="95"/>
      <c r="AE466" s="127"/>
    </row>
    <row r="467" spans="1:31" ht="12" customHeight="1" x14ac:dyDescent="0.2">
      <c r="S467" s="107"/>
      <c r="T467" s="107"/>
      <c r="U467" s="95"/>
      <c r="V467" s="95"/>
      <c r="W467" s="95"/>
      <c r="X467" s="95"/>
      <c r="Y467" s="95"/>
      <c r="Z467" s="95"/>
      <c r="AA467" s="95"/>
      <c r="AB467" s="95"/>
      <c r="AC467" s="95"/>
      <c r="AD467" s="108"/>
      <c r="AE467" s="127"/>
    </row>
    <row r="468" spans="1:31" ht="12" customHeight="1" x14ac:dyDescent="0.2">
      <c r="S468" s="107"/>
      <c r="T468" s="107"/>
      <c r="U468" s="95"/>
      <c r="V468" s="95"/>
      <c r="W468" s="95"/>
      <c r="X468" s="95"/>
      <c r="Y468" s="95"/>
      <c r="Z468" s="95"/>
      <c r="AA468" s="95"/>
      <c r="AB468" s="95"/>
      <c r="AC468" s="95"/>
      <c r="AD468" s="108"/>
      <c r="AE468" s="127"/>
    </row>
    <row r="469" spans="1:31" ht="12" customHeight="1" x14ac:dyDescent="0.2">
      <c r="S469" s="107"/>
      <c r="T469" s="107"/>
      <c r="U469" s="95"/>
      <c r="V469" s="95"/>
      <c r="W469" s="95"/>
      <c r="X469" s="95"/>
      <c r="Y469" s="95"/>
      <c r="Z469" s="95"/>
      <c r="AA469" s="95"/>
      <c r="AB469" s="95"/>
      <c r="AC469" s="95"/>
      <c r="AD469" s="108"/>
      <c r="AE469" s="127"/>
    </row>
    <row r="470" spans="1:31" ht="12" customHeight="1" x14ac:dyDescent="0.2">
      <c r="S470" s="107"/>
      <c r="T470" s="107"/>
      <c r="U470" s="95"/>
      <c r="V470" s="95"/>
      <c r="W470" s="95"/>
      <c r="X470" s="95"/>
      <c r="Y470" s="95"/>
      <c r="Z470" s="95"/>
      <c r="AA470" s="95"/>
      <c r="AB470" s="95"/>
      <c r="AC470" s="95"/>
      <c r="AD470" s="108"/>
      <c r="AE470" s="127"/>
    </row>
    <row r="471" spans="1:31" ht="12" customHeight="1" x14ac:dyDescent="0.2">
      <c r="S471" s="107"/>
      <c r="T471" s="107"/>
      <c r="U471" s="95"/>
      <c r="V471" s="95"/>
      <c r="W471" s="95"/>
      <c r="X471" s="95"/>
      <c r="Y471" s="95"/>
      <c r="Z471" s="95"/>
      <c r="AA471" s="95"/>
      <c r="AB471" s="95"/>
      <c r="AC471" s="95"/>
      <c r="AE471" s="127"/>
    </row>
    <row r="472" spans="1:31" ht="12" customHeight="1" x14ac:dyDescent="0.2">
      <c r="S472" s="107"/>
      <c r="T472" s="107"/>
      <c r="U472" s="95"/>
      <c r="V472" s="95"/>
      <c r="W472" s="95"/>
      <c r="X472" s="95"/>
      <c r="Y472" s="95"/>
      <c r="Z472" s="95"/>
      <c r="AA472" s="95"/>
      <c r="AB472" s="95"/>
      <c r="AC472" s="95"/>
      <c r="AD472" s="108"/>
      <c r="AE472" s="127"/>
    </row>
    <row r="473" spans="1:31" ht="12" customHeight="1" x14ac:dyDescent="0.2">
      <c r="S473" s="107"/>
      <c r="T473" s="107"/>
      <c r="U473" s="95"/>
      <c r="V473" s="95"/>
      <c r="W473" s="95"/>
      <c r="X473" s="95"/>
      <c r="Y473" s="95"/>
      <c r="Z473" s="95"/>
      <c r="AA473" s="95"/>
      <c r="AB473" s="95"/>
      <c r="AC473" s="95"/>
      <c r="AD473" s="108"/>
      <c r="AE473" s="127"/>
    </row>
    <row r="474" spans="1:31" ht="12" customHeight="1" x14ac:dyDescent="0.2">
      <c r="S474" s="107"/>
      <c r="T474" s="107"/>
      <c r="U474" s="95"/>
      <c r="V474" s="95"/>
      <c r="W474" s="95"/>
      <c r="X474" s="95"/>
      <c r="Y474" s="95"/>
      <c r="Z474" s="95"/>
      <c r="AA474" s="95"/>
      <c r="AB474" s="95"/>
      <c r="AC474" s="95"/>
      <c r="AD474" s="108"/>
      <c r="AE474" s="127"/>
    </row>
    <row r="475" spans="1:31" ht="12" customHeight="1" x14ac:dyDescent="0.2">
      <c r="S475" s="107"/>
      <c r="T475" s="107"/>
      <c r="U475" s="95"/>
      <c r="V475" s="95"/>
      <c r="W475" s="95"/>
      <c r="X475" s="95"/>
      <c r="Y475" s="95"/>
      <c r="Z475" s="95"/>
      <c r="AA475" s="95"/>
      <c r="AB475" s="95"/>
      <c r="AC475" s="95"/>
      <c r="AD475" s="108"/>
      <c r="AE475" s="127"/>
    </row>
    <row r="476" spans="1:31" ht="12" customHeight="1" x14ac:dyDescent="0.2">
      <c r="S476" s="107"/>
      <c r="T476" s="107"/>
      <c r="U476" s="95"/>
      <c r="V476" s="95"/>
      <c r="W476" s="95"/>
      <c r="X476" s="95"/>
      <c r="Y476" s="95"/>
      <c r="Z476" s="95"/>
      <c r="AA476" s="95"/>
      <c r="AB476" s="95"/>
      <c r="AC476" s="95"/>
      <c r="AE476" s="127"/>
    </row>
    <row r="477" spans="1:31" ht="12" customHeight="1" x14ac:dyDescent="0.2">
      <c r="S477" s="107"/>
      <c r="T477" s="107"/>
      <c r="U477" s="95"/>
      <c r="V477" s="95"/>
      <c r="W477" s="95"/>
      <c r="X477" s="95"/>
      <c r="Y477" s="95"/>
      <c r="Z477" s="95"/>
      <c r="AA477" s="95"/>
      <c r="AB477" s="95"/>
      <c r="AC477" s="95"/>
      <c r="AD477" s="108"/>
      <c r="AE477" s="127"/>
    </row>
    <row r="478" spans="1:31" s="101" customFormat="1" ht="12" customHeight="1" x14ac:dyDescent="0.2">
      <c r="A478" s="75"/>
      <c r="B478" s="75"/>
      <c r="C478" s="75"/>
      <c r="D478" s="75"/>
      <c r="E478" s="75"/>
      <c r="F478" s="75"/>
      <c r="G478" s="75"/>
      <c r="H478" s="75"/>
      <c r="I478" s="75"/>
      <c r="J478" s="75"/>
      <c r="K478" s="75"/>
      <c r="L478" s="75"/>
      <c r="M478" s="75"/>
      <c r="N478" s="75"/>
      <c r="O478" s="75"/>
      <c r="P478" s="75"/>
      <c r="Q478" s="75"/>
      <c r="S478" s="107"/>
      <c r="T478" s="107"/>
      <c r="U478" s="95"/>
      <c r="V478" s="95"/>
      <c r="W478" s="95"/>
      <c r="X478" s="95"/>
      <c r="Y478" s="95"/>
      <c r="Z478" s="95"/>
      <c r="AA478" s="95"/>
      <c r="AB478" s="95"/>
      <c r="AC478" s="95"/>
      <c r="AD478" s="108"/>
      <c r="AE478" s="127"/>
    </row>
    <row r="479" spans="1:31" s="101" customFormat="1" ht="12" customHeight="1" x14ac:dyDescent="0.2">
      <c r="A479" s="75"/>
      <c r="B479" s="75"/>
      <c r="C479" s="75"/>
      <c r="D479" s="75"/>
      <c r="E479" s="75"/>
      <c r="F479" s="75"/>
      <c r="G479" s="75"/>
      <c r="H479" s="75"/>
      <c r="I479" s="75"/>
      <c r="J479" s="75"/>
      <c r="K479" s="75"/>
      <c r="L479" s="75"/>
      <c r="M479" s="75"/>
      <c r="N479" s="75"/>
      <c r="O479" s="75"/>
      <c r="P479" s="75"/>
      <c r="Q479" s="75"/>
      <c r="S479" s="110"/>
      <c r="T479" s="110"/>
      <c r="U479" s="95"/>
      <c r="V479" s="95"/>
      <c r="W479" s="95"/>
      <c r="X479" s="95"/>
      <c r="Y479" s="95"/>
      <c r="Z479" s="95"/>
      <c r="AA479" s="95"/>
      <c r="AB479" s="95"/>
      <c r="AC479" s="95"/>
      <c r="AD479" s="109"/>
      <c r="AE479" s="127"/>
    </row>
    <row r="480" spans="1:31" ht="12" customHeight="1" x14ac:dyDescent="0.2">
      <c r="S480" s="107"/>
      <c r="T480" s="107"/>
      <c r="U480" s="95"/>
      <c r="V480" s="95"/>
      <c r="W480" s="95"/>
      <c r="X480" s="95"/>
      <c r="Y480" s="95"/>
      <c r="Z480" s="95"/>
      <c r="AA480" s="95"/>
      <c r="AB480" s="95"/>
      <c r="AC480" s="95"/>
      <c r="AD480" s="108"/>
      <c r="AE480" s="127"/>
    </row>
    <row r="481" spans="1:31" ht="12" customHeight="1" x14ac:dyDescent="0.2">
      <c r="S481" s="107"/>
      <c r="T481" s="107"/>
      <c r="U481" s="95"/>
      <c r="V481" s="95"/>
      <c r="W481" s="95"/>
      <c r="X481" s="95"/>
      <c r="Y481" s="95"/>
      <c r="Z481" s="95"/>
      <c r="AA481" s="95"/>
      <c r="AB481" s="95"/>
      <c r="AC481" s="95"/>
      <c r="AD481" s="108"/>
      <c r="AE481" s="127"/>
    </row>
    <row r="482" spans="1:31" ht="12" customHeight="1" x14ac:dyDescent="0.2">
      <c r="S482" s="107"/>
      <c r="T482" s="107"/>
      <c r="U482" s="95"/>
      <c r="V482" s="95"/>
      <c r="W482" s="95"/>
      <c r="X482" s="95"/>
      <c r="Y482" s="95"/>
      <c r="Z482" s="95"/>
      <c r="AA482" s="95"/>
      <c r="AB482" s="95"/>
      <c r="AC482" s="95"/>
      <c r="AD482" s="108"/>
      <c r="AE482" s="127"/>
    </row>
    <row r="483" spans="1:31" ht="12" customHeight="1" x14ac:dyDescent="0.2">
      <c r="S483" s="107"/>
      <c r="T483" s="107"/>
      <c r="U483" s="95"/>
      <c r="V483" s="95"/>
      <c r="W483" s="95"/>
      <c r="X483" s="95"/>
      <c r="Y483" s="95"/>
      <c r="Z483" s="95"/>
      <c r="AA483" s="95"/>
      <c r="AB483" s="95"/>
      <c r="AC483" s="95"/>
      <c r="AD483" s="108"/>
      <c r="AE483" s="127"/>
    </row>
    <row r="484" spans="1:31" ht="12" customHeight="1" x14ac:dyDescent="0.2">
      <c r="S484" s="107"/>
      <c r="T484" s="107"/>
      <c r="U484" s="95"/>
      <c r="V484" s="95"/>
      <c r="W484" s="95"/>
      <c r="X484" s="95"/>
      <c r="Y484" s="95"/>
      <c r="Z484" s="95"/>
      <c r="AA484" s="95"/>
      <c r="AB484" s="95"/>
      <c r="AC484" s="95"/>
      <c r="AE484" s="127"/>
    </row>
    <row r="485" spans="1:31" ht="12" customHeight="1" x14ac:dyDescent="0.2">
      <c r="S485" s="107"/>
      <c r="T485" s="107"/>
      <c r="U485" s="95"/>
      <c r="V485" s="95"/>
      <c r="W485" s="95"/>
      <c r="X485" s="95"/>
      <c r="Y485" s="95"/>
      <c r="Z485" s="95"/>
      <c r="AA485" s="95"/>
      <c r="AB485" s="95"/>
      <c r="AC485" s="95"/>
      <c r="AD485" s="108"/>
      <c r="AE485" s="127"/>
    </row>
    <row r="486" spans="1:31" ht="12" customHeight="1" x14ac:dyDescent="0.2">
      <c r="S486" s="107"/>
      <c r="T486" s="107"/>
      <c r="U486" s="95"/>
      <c r="V486" s="95"/>
      <c r="W486" s="95"/>
      <c r="X486" s="95"/>
      <c r="Y486" s="95"/>
      <c r="Z486" s="95"/>
      <c r="AA486" s="95"/>
      <c r="AB486" s="95"/>
      <c r="AC486" s="95"/>
      <c r="AD486" s="108"/>
      <c r="AE486" s="127"/>
    </row>
    <row r="487" spans="1:31" ht="12" customHeight="1" x14ac:dyDescent="0.2">
      <c r="U487" s="95"/>
      <c r="V487" s="95"/>
      <c r="W487" s="95"/>
      <c r="X487" s="95"/>
      <c r="Y487" s="95"/>
      <c r="Z487" s="95"/>
      <c r="AA487" s="95"/>
      <c r="AB487" s="95"/>
      <c r="AC487" s="95"/>
      <c r="AE487" s="127"/>
    </row>
    <row r="488" spans="1:31" ht="12" customHeight="1" x14ac:dyDescent="0.2">
      <c r="S488" s="107"/>
      <c r="T488" s="107"/>
      <c r="U488" s="95"/>
      <c r="V488" s="95"/>
      <c r="W488" s="95"/>
      <c r="X488" s="95"/>
      <c r="Y488" s="95"/>
      <c r="Z488" s="95"/>
      <c r="AA488" s="95"/>
      <c r="AB488" s="95"/>
      <c r="AC488" s="95"/>
      <c r="AD488" s="108"/>
      <c r="AE488" s="127"/>
    </row>
    <row r="489" spans="1:31" s="101" customFormat="1" ht="12" customHeight="1" x14ac:dyDescent="0.2">
      <c r="A489" s="75"/>
      <c r="B489" s="75"/>
      <c r="C489" s="75"/>
      <c r="D489" s="75"/>
      <c r="E489" s="75"/>
      <c r="F489" s="75"/>
      <c r="G489" s="75"/>
      <c r="H489" s="75"/>
      <c r="I489" s="75"/>
      <c r="J489" s="75"/>
      <c r="K489" s="75"/>
      <c r="L489" s="75"/>
      <c r="M489" s="75"/>
      <c r="N489" s="75"/>
      <c r="O489" s="75"/>
      <c r="P489" s="75"/>
      <c r="Q489" s="75"/>
      <c r="S489" s="107"/>
      <c r="T489" s="107"/>
      <c r="U489" s="95"/>
      <c r="V489" s="95"/>
      <c r="W489" s="95"/>
      <c r="X489" s="95"/>
      <c r="Y489" s="95"/>
      <c r="Z489" s="95"/>
      <c r="AA489" s="95"/>
      <c r="AB489" s="95"/>
      <c r="AC489" s="95"/>
      <c r="AD489" s="108"/>
      <c r="AE489" s="127"/>
    </row>
    <row r="490" spans="1:31" s="101" customFormat="1" ht="12" customHeight="1" x14ac:dyDescent="0.2">
      <c r="A490" s="75"/>
      <c r="B490" s="75"/>
      <c r="C490" s="75"/>
      <c r="D490" s="75"/>
      <c r="E490" s="75"/>
      <c r="F490" s="75"/>
      <c r="G490" s="75"/>
      <c r="H490" s="75"/>
      <c r="I490" s="75"/>
      <c r="J490" s="75"/>
      <c r="K490" s="75"/>
      <c r="L490" s="75"/>
      <c r="M490" s="75"/>
      <c r="N490" s="75"/>
      <c r="O490" s="75"/>
      <c r="P490" s="75"/>
      <c r="Q490" s="75"/>
      <c r="S490" s="107"/>
      <c r="T490" s="107"/>
      <c r="U490" s="95"/>
      <c r="V490" s="95"/>
      <c r="W490" s="95"/>
      <c r="X490" s="95"/>
      <c r="Y490" s="95"/>
      <c r="Z490" s="95"/>
      <c r="AA490" s="95"/>
      <c r="AB490" s="95"/>
      <c r="AC490" s="95"/>
      <c r="AD490" s="108"/>
      <c r="AE490" s="127"/>
    </row>
    <row r="491" spans="1:31" s="101" customFormat="1" ht="12" customHeight="1" x14ac:dyDescent="0.2">
      <c r="A491" s="75"/>
      <c r="B491" s="75"/>
      <c r="C491" s="75"/>
      <c r="D491" s="75"/>
      <c r="E491" s="75"/>
      <c r="F491" s="75"/>
      <c r="G491" s="75"/>
      <c r="H491" s="75"/>
      <c r="I491" s="75"/>
      <c r="J491" s="75"/>
      <c r="K491" s="75"/>
      <c r="L491" s="75"/>
      <c r="M491" s="75"/>
      <c r="N491" s="75"/>
      <c r="O491" s="75"/>
      <c r="P491" s="75"/>
      <c r="Q491" s="75"/>
      <c r="S491" s="107"/>
      <c r="T491" s="107"/>
      <c r="U491" s="95"/>
      <c r="V491" s="95"/>
      <c r="W491" s="95"/>
      <c r="X491" s="95"/>
      <c r="Y491" s="95"/>
      <c r="Z491" s="95"/>
      <c r="AA491" s="95"/>
      <c r="AB491" s="95"/>
      <c r="AC491" s="95"/>
      <c r="AD491" s="108"/>
      <c r="AE491" s="127"/>
    </row>
    <row r="492" spans="1:31" ht="12" customHeight="1" x14ac:dyDescent="0.2">
      <c r="S492" s="107"/>
      <c r="T492" s="107"/>
      <c r="U492" s="95"/>
      <c r="V492" s="95"/>
      <c r="W492" s="95"/>
      <c r="X492" s="95"/>
      <c r="Y492" s="95"/>
      <c r="Z492" s="95"/>
      <c r="AA492" s="95"/>
      <c r="AB492" s="95"/>
      <c r="AC492" s="95"/>
      <c r="AD492" s="108"/>
      <c r="AE492" s="127"/>
    </row>
    <row r="493" spans="1:31" ht="12" customHeight="1" x14ac:dyDescent="0.2">
      <c r="U493" s="95"/>
      <c r="V493" s="95"/>
      <c r="W493" s="95"/>
      <c r="X493" s="95"/>
      <c r="Y493" s="95"/>
      <c r="Z493" s="95"/>
      <c r="AA493" s="95"/>
      <c r="AB493" s="95"/>
      <c r="AC493" s="95"/>
      <c r="AE493" s="127"/>
    </row>
    <row r="494" spans="1:31" ht="12" customHeight="1" x14ac:dyDescent="0.2">
      <c r="S494" s="107"/>
      <c r="T494" s="107"/>
      <c r="U494" s="95"/>
      <c r="V494" s="95"/>
      <c r="W494" s="95"/>
      <c r="X494" s="95"/>
      <c r="Y494" s="95"/>
      <c r="Z494" s="95"/>
      <c r="AA494" s="95"/>
      <c r="AB494" s="95"/>
      <c r="AC494" s="95"/>
      <c r="AD494" s="108"/>
      <c r="AE494" s="127"/>
    </row>
    <row r="495" spans="1:31" ht="12" customHeight="1" x14ac:dyDescent="0.2">
      <c r="S495" s="107"/>
      <c r="T495" s="107"/>
      <c r="U495" s="95"/>
      <c r="V495" s="95"/>
      <c r="W495" s="95"/>
      <c r="X495" s="95"/>
      <c r="Y495" s="95"/>
      <c r="Z495" s="95"/>
      <c r="AA495" s="95"/>
      <c r="AB495" s="95"/>
      <c r="AC495" s="95"/>
      <c r="AD495" s="108"/>
      <c r="AE495" s="127"/>
    </row>
    <row r="496" spans="1:31" ht="12" customHeight="1" x14ac:dyDescent="0.2">
      <c r="S496" s="107"/>
      <c r="T496" s="107"/>
      <c r="U496" s="95"/>
      <c r="V496" s="95"/>
      <c r="W496" s="95"/>
      <c r="X496" s="95"/>
      <c r="Y496" s="95"/>
      <c r="Z496" s="95"/>
      <c r="AA496" s="95"/>
      <c r="AB496" s="95"/>
      <c r="AC496" s="95"/>
      <c r="AD496" s="108"/>
      <c r="AE496" s="127"/>
    </row>
    <row r="497" spans="19:31" ht="12" customHeight="1" x14ac:dyDescent="0.2">
      <c r="U497" s="95"/>
      <c r="V497" s="95"/>
      <c r="W497" s="95"/>
      <c r="X497" s="95"/>
      <c r="Y497" s="95"/>
      <c r="Z497" s="95"/>
      <c r="AA497" s="95"/>
      <c r="AB497" s="95"/>
      <c r="AC497" s="95"/>
      <c r="AE497" s="127"/>
    </row>
    <row r="498" spans="19:31" ht="12" customHeight="1" x14ac:dyDescent="0.2">
      <c r="S498" s="107"/>
      <c r="T498" s="107"/>
      <c r="U498" s="95"/>
      <c r="V498" s="95"/>
      <c r="W498" s="95"/>
      <c r="X498" s="95"/>
      <c r="Y498" s="95"/>
      <c r="Z498" s="95"/>
      <c r="AA498" s="95"/>
      <c r="AB498" s="95"/>
      <c r="AC498" s="95"/>
      <c r="AD498" s="108"/>
      <c r="AE498" s="127"/>
    </row>
    <row r="499" spans="19:31" ht="12" customHeight="1" x14ac:dyDescent="0.2">
      <c r="S499" s="107"/>
      <c r="T499" s="107"/>
      <c r="U499" s="95"/>
      <c r="V499" s="95"/>
      <c r="W499" s="95"/>
      <c r="X499" s="95"/>
      <c r="Y499" s="95"/>
      <c r="Z499" s="95"/>
      <c r="AA499" s="95"/>
      <c r="AB499" s="95"/>
      <c r="AC499" s="95"/>
      <c r="AD499" s="108"/>
      <c r="AE499" s="127"/>
    </row>
    <row r="500" spans="19:31" ht="12" customHeight="1" x14ac:dyDescent="0.2">
      <c r="U500" s="95"/>
      <c r="V500" s="95"/>
      <c r="W500" s="95"/>
      <c r="X500" s="95"/>
      <c r="Y500" s="95"/>
      <c r="Z500" s="95"/>
      <c r="AA500" s="95"/>
      <c r="AB500" s="95"/>
      <c r="AC500" s="95"/>
      <c r="AE500" s="127"/>
    </row>
    <row r="501" spans="19:31" ht="12" customHeight="1" x14ac:dyDescent="0.2">
      <c r="S501" s="107"/>
      <c r="T501" s="107"/>
      <c r="U501" s="95"/>
      <c r="V501" s="95"/>
      <c r="W501" s="95"/>
      <c r="X501" s="95"/>
      <c r="Y501" s="95"/>
      <c r="Z501" s="95"/>
      <c r="AA501" s="95"/>
      <c r="AB501" s="95"/>
      <c r="AC501" s="95"/>
      <c r="AD501" s="108"/>
      <c r="AE501" s="127"/>
    </row>
    <row r="502" spans="19:31" ht="12" customHeight="1" x14ac:dyDescent="0.2">
      <c r="S502" s="107"/>
      <c r="T502" s="107"/>
      <c r="U502" s="95"/>
      <c r="V502" s="95"/>
      <c r="W502" s="95"/>
      <c r="X502" s="95"/>
      <c r="Y502" s="95"/>
      <c r="Z502" s="95"/>
      <c r="AA502" s="95"/>
      <c r="AB502" s="95"/>
      <c r="AC502" s="95"/>
      <c r="AD502" s="108"/>
      <c r="AE502" s="127"/>
    </row>
    <row r="503" spans="19:31" ht="12" customHeight="1" x14ac:dyDescent="0.2">
      <c r="U503" s="95"/>
      <c r="V503" s="95"/>
      <c r="W503" s="95"/>
      <c r="X503" s="95"/>
      <c r="Y503" s="95"/>
      <c r="Z503" s="95"/>
      <c r="AA503" s="95"/>
      <c r="AB503" s="95"/>
      <c r="AC503" s="95"/>
      <c r="AE503" s="127"/>
    </row>
    <row r="504" spans="19:31" ht="12" customHeight="1" x14ac:dyDescent="0.2">
      <c r="S504" s="107"/>
      <c r="T504" s="107"/>
      <c r="U504" s="95"/>
      <c r="V504" s="95"/>
      <c r="W504" s="95"/>
      <c r="X504" s="95"/>
      <c r="Y504" s="95"/>
      <c r="Z504" s="95"/>
      <c r="AA504" s="95"/>
      <c r="AB504" s="95"/>
      <c r="AC504" s="95"/>
      <c r="AD504" s="108"/>
      <c r="AE504" s="127"/>
    </row>
    <row r="505" spans="19:31" ht="12" customHeight="1" x14ac:dyDescent="0.2">
      <c r="S505" s="107"/>
      <c r="T505" s="107"/>
      <c r="U505" s="95"/>
      <c r="V505" s="95"/>
      <c r="W505" s="95"/>
      <c r="X505" s="95"/>
      <c r="Y505" s="95"/>
      <c r="Z505" s="95"/>
      <c r="AA505" s="95"/>
      <c r="AB505" s="95"/>
      <c r="AC505" s="95"/>
      <c r="AD505" s="108"/>
      <c r="AE505" s="127"/>
    </row>
    <row r="506" spans="19:31" ht="12" customHeight="1" x14ac:dyDescent="0.2">
      <c r="S506" s="107"/>
      <c r="T506" s="107"/>
      <c r="U506" s="95"/>
      <c r="V506" s="95"/>
      <c r="W506" s="95"/>
      <c r="X506" s="95"/>
      <c r="Y506" s="95"/>
      <c r="Z506" s="95"/>
      <c r="AA506" s="95"/>
      <c r="AB506" s="95"/>
      <c r="AC506" s="95"/>
      <c r="AD506" s="108"/>
      <c r="AE506" s="127"/>
    </row>
    <row r="507" spans="19:31" ht="12" customHeight="1" x14ac:dyDescent="0.2">
      <c r="S507" s="107"/>
      <c r="T507" s="107"/>
      <c r="U507" s="95"/>
      <c r="V507" s="95"/>
      <c r="W507" s="95"/>
      <c r="X507" s="95"/>
      <c r="Y507" s="95"/>
      <c r="Z507" s="95"/>
      <c r="AA507" s="95"/>
      <c r="AB507" s="95"/>
      <c r="AC507" s="95"/>
      <c r="AD507" s="108"/>
      <c r="AE507" s="127"/>
    </row>
    <row r="508" spans="19:31" ht="12" customHeight="1" x14ac:dyDescent="0.2">
      <c r="U508" s="95"/>
      <c r="V508" s="95"/>
      <c r="W508" s="95"/>
      <c r="X508" s="95"/>
      <c r="Y508" s="95"/>
      <c r="Z508" s="95"/>
      <c r="AA508" s="95"/>
      <c r="AB508" s="95"/>
      <c r="AC508" s="95"/>
      <c r="AE508" s="127"/>
    </row>
    <row r="509" spans="19:31" ht="12" customHeight="1" x14ac:dyDescent="0.2">
      <c r="S509" s="107"/>
      <c r="T509" s="107"/>
      <c r="U509" s="95"/>
      <c r="V509" s="95"/>
      <c r="W509" s="95"/>
      <c r="X509" s="95"/>
      <c r="Y509" s="95"/>
      <c r="Z509" s="95"/>
      <c r="AA509" s="95"/>
      <c r="AB509" s="95"/>
      <c r="AC509" s="95"/>
      <c r="AD509" s="108"/>
      <c r="AE509" s="127"/>
    </row>
    <row r="510" spans="19:31" ht="12" customHeight="1" x14ac:dyDescent="0.2">
      <c r="U510" s="95"/>
      <c r="V510" s="95"/>
      <c r="W510" s="95"/>
      <c r="X510" s="95"/>
      <c r="Y510" s="95"/>
      <c r="Z510" s="95"/>
      <c r="AA510" s="95"/>
      <c r="AB510" s="95"/>
      <c r="AC510" s="95"/>
      <c r="AE510" s="127"/>
    </row>
    <row r="511" spans="19:31" ht="12" customHeight="1" x14ac:dyDescent="0.2">
      <c r="S511" s="107"/>
      <c r="T511" s="107"/>
      <c r="U511" s="95"/>
      <c r="V511" s="95"/>
      <c r="W511" s="95"/>
      <c r="X511" s="95"/>
      <c r="Y511" s="95"/>
      <c r="Z511" s="95"/>
      <c r="AA511" s="95"/>
      <c r="AB511" s="95"/>
      <c r="AC511" s="95"/>
      <c r="AD511" s="108"/>
      <c r="AE511" s="127"/>
    </row>
    <row r="512" spans="19:31" ht="12" customHeight="1" x14ac:dyDescent="0.2">
      <c r="U512" s="95"/>
      <c r="V512" s="95"/>
      <c r="W512" s="95"/>
      <c r="X512" s="95"/>
      <c r="Y512" s="95"/>
      <c r="Z512" s="95"/>
      <c r="AA512" s="95"/>
      <c r="AB512" s="95"/>
      <c r="AC512" s="95"/>
      <c r="AE512" s="127"/>
    </row>
    <row r="513" spans="19:31" ht="12" customHeight="1" x14ac:dyDescent="0.2">
      <c r="S513" s="107"/>
      <c r="T513" s="107"/>
      <c r="U513" s="95"/>
      <c r="V513" s="95"/>
      <c r="W513" s="95"/>
      <c r="X513" s="95"/>
      <c r="Y513" s="95"/>
      <c r="Z513" s="95"/>
      <c r="AA513" s="95"/>
      <c r="AB513" s="95"/>
      <c r="AC513" s="95"/>
      <c r="AD513" s="108"/>
      <c r="AE513" s="127"/>
    </row>
    <row r="514" spans="19:31" ht="12" customHeight="1" x14ac:dyDescent="0.2">
      <c r="S514" s="107"/>
      <c r="T514" s="107"/>
      <c r="U514" s="95"/>
      <c r="V514" s="95"/>
      <c r="W514" s="95"/>
      <c r="X514" s="95"/>
      <c r="Y514" s="95"/>
      <c r="Z514" s="95"/>
      <c r="AA514" s="95"/>
      <c r="AB514" s="95"/>
      <c r="AC514" s="95"/>
      <c r="AD514" s="108"/>
      <c r="AE514" s="127"/>
    </row>
    <row r="515" spans="19:31" ht="12" customHeight="1" x14ac:dyDescent="0.2">
      <c r="S515" s="107"/>
      <c r="T515" s="107"/>
      <c r="U515" s="95"/>
      <c r="V515" s="95"/>
      <c r="W515" s="95"/>
      <c r="X515" s="95"/>
      <c r="Y515" s="95"/>
      <c r="Z515" s="95"/>
      <c r="AA515" s="95"/>
      <c r="AB515" s="95"/>
      <c r="AC515" s="95"/>
      <c r="AD515" s="108"/>
      <c r="AE515" s="127"/>
    </row>
    <row r="516" spans="19:31" ht="12" customHeight="1" x14ac:dyDescent="0.2">
      <c r="U516" s="95"/>
      <c r="V516" s="95"/>
      <c r="W516" s="95"/>
      <c r="X516" s="95"/>
      <c r="Y516" s="95"/>
      <c r="Z516" s="95"/>
      <c r="AA516" s="95"/>
      <c r="AB516" s="95"/>
      <c r="AC516" s="95"/>
      <c r="AE516" s="127"/>
    </row>
    <row r="517" spans="19:31" ht="12" customHeight="1" x14ac:dyDescent="0.2">
      <c r="S517" s="107"/>
      <c r="T517" s="107"/>
      <c r="U517" s="95"/>
      <c r="V517" s="95"/>
      <c r="W517" s="95"/>
      <c r="X517" s="95"/>
      <c r="Y517" s="95"/>
      <c r="Z517" s="95"/>
      <c r="AA517" s="95"/>
      <c r="AB517" s="95"/>
      <c r="AC517" s="95"/>
      <c r="AD517" s="108"/>
      <c r="AE517" s="127"/>
    </row>
    <row r="518" spans="19:31" ht="12" customHeight="1" x14ac:dyDescent="0.2">
      <c r="S518" s="107"/>
      <c r="T518" s="107"/>
      <c r="U518" s="95"/>
      <c r="V518" s="95"/>
      <c r="W518" s="95"/>
      <c r="X518" s="95"/>
      <c r="Y518" s="95"/>
      <c r="Z518" s="95"/>
      <c r="AA518" s="95"/>
      <c r="AB518" s="95"/>
      <c r="AC518" s="95"/>
      <c r="AD518" s="108"/>
      <c r="AE518" s="127"/>
    </row>
    <row r="519" spans="19:31" ht="12" customHeight="1" x14ac:dyDescent="0.2">
      <c r="S519" s="107"/>
      <c r="T519" s="107"/>
      <c r="U519" s="95"/>
      <c r="V519" s="95"/>
      <c r="W519" s="95"/>
      <c r="X519" s="95"/>
      <c r="Y519" s="95"/>
      <c r="Z519" s="95"/>
      <c r="AA519" s="95"/>
      <c r="AB519" s="95"/>
      <c r="AC519" s="95"/>
      <c r="AD519" s="108"/>
      <c r="AE519" s="127"/>
    </row>
    <row r="520" spans="19:31" ht="12" customHeight="1" x14ac:dyDescent="0.2">
      <c r="U520" s="95"/>
      <c r="V520" s="95"/>
      <c r="W520" s="95"/>
      <c r="X520" s="95"/>
      <c r="Y520" s="95"/>
      <c r="Z520" s="95"/>
      <c r="AA520" s="95"/>
      <c r="AB520" s="95"/>
      <c r="AC520" s="95"/>
      <c r="AE520" s="127"/>
    </row>
    <row r="521" spans="19:31" ht="12" customHeight="1" x14ac:dyDescent="0.2">
      <c r="S521" s="107"/>
      <c r="T521" s="107"/>
      <c r="U521" s="95"/>
      <c r="V521" s="95"/>
      <c r="W521" s="95"/>
      <c r="X521" s="95"/>
      <c r="Y521" s="95"/>
      <c r="Z521" s="95"/>
      <c r="AA521" s="95"/>
      <c r="AB521" s="95"/>
      <c r="AC521" s="95"/>
      <c r="AD521" s="108"/>
      <c r="AE521" s="127"/>
    </row>
    <row r="522" spans="19:31" ht="12" customHeight="1" x14ac:dyDescent="0.2">
      <c r="S522" s="107"/>
      <c r="T522" s="107"/>
      <c r="U522" s="95"/>
      <c r="V522" s="95"/>
      <c r="W522" s="95"/>
      <c r="X522" s="95"/>
      <c r="Y522" s="95"/>
      <c r="Z522" s="95"/>
      <c r="AA522" s="95"/>
      <c r="AB522" s="95"/>
      <c r="AC522" s="95"/>
      <c r="AD522" s="108"/>
      <c r="AE522" s="127"/>
    </row>
    <row r="523" spans="19:31" ht="12" customHeight="1" x14ac:dyDescent="0.2">
      <c r="S523" s="107"/>
      <c r="T523" s="107"/>
      <c r="U523" s="95"/>
      <c r="V523" s="95"/>
      <c r="W523" s="95"/>
      <c r="X523" s="95"/>
      <c r="Y523" s="95"/>
      <c r="Z523" s="95"/>
      <c r="AA523" s="95"/>
      <c r="AB523" s="95"/>
      <c r="AC523" s="95"/>
      <c r="AD523" s="108"/>
      <c r="AE523" s="127"/>
    </row>
    <row r="524" spans="19:31" ht="12" customHeight="1" x14ac:dyDescent="0.2">
      <c r="U524" s="95"/>
      <c r="V524" s="95"/>
      <c r="W524" s="95"/>
      <c r="X524" s="95"/>
      <c r="Y524" s="95"/>
      <c r="Z524" s="95"/>
      <c r="AA524" s="95"/>
      <c r="AB524" s="95"/>
      <c r="AC524" s="95"/>
      <c r="AE524" s="127"/>
    </row>
    <row r="525" spans="19:31" ht="12" customHeight="1" x14ac:dyDescent="0.2">
      <c r="S525" s="107"/>
      <c r="T525" s="107"/>
      <c r="U525" s="95"/>
      <c r="V525" s="95"/>
      <c r="W525" s="95"/>
      <c r="X525" s="95"/>
      <c r="Y525" s="95"/>
      <c r="Z525" s="95"/>
      <c r="AA525" s="95"/>
      <c r="AB525" s="95"/>
      <c r="AC525" s="95"/>
      <c r="AD525" s="108"/>
      <c r="AE525" s="127"/>
    </row>
    <row r="526" spans="19:31" ht="12" customHeight="1" x14ac:dyDescent="0.2">
      <c r="S526" s="107"/>
      <c r="T526" s="107"/>
      <c r="U526" s="95"/>
      <c r="V526" s="95"/>
      <c r="W526" s="95"/>
      <c r="X526" s="95"/>
      <c r="Y526" s="95"/>
      <c r="Z526" s="95"/>
      <c r="AA526" s="95"/>
      <c r="AB526" s="95"/>
      <c r="AC526" s="95"/>
      <c r="AD526" s="108"/>
      <c r="AE526" s="127"/>
    </row>
    <row r="527" spans="19:31" ht="12" customHeight="1" x14ac:dyDescent="0.2">
      <c r="U527" s="95"/>
      <c r="V527" s="95"/>
      <c r="W527" s="95"/>
      <c r="X527" s="95"/>
      <c r="Y527" s="95"/>
      <c r="Z527" s="95"/>
      <c r="AA527" s="95"/>
      <c r="AB527" s="95"/>
      <c r="AC527" s="95"/>
      <c r="AE527" s="127"/>
    </row>
    <row r="528" spans="19:31" ht="12" customHeight="1" x14ac:dyDescent="0.2">
      <c r="S528" s="107"/>
      <c r="T528" s="107"/>
      <c r="U528" s="95"/>
      <c r="V528" s="95"/>
      <c r="W528" s="95"/>
      <c r="X528" s="95"/>
      <c r="Y528" s="95"/>
      <c r="Z528" s="95"/>
      <c r="AA528" s="95"/>
      <c r="AB528" s="95"/>
      <c r="AC528" s="95"/>
      <c r="AD528" s="108"/>
      <c r="AE528" s="127"/>
    </row>
    <row r="529" spans="19:31" ht="12" customHeight="1" x14ac:dyDescent="0.2">
      <c r="S529" s="107"/>
      <c r="T529" s="107"/>
      <c r="U529" s="95"/>
      <c r="V529" s="95"/>
      <c r="W529" s="95"/>
      <c r="X529" s="95"/>
      <c r="Y529" s="95"/>
      <c r="Z529" s="95"/>
      <c r="AA529" s="95"/>
      <c r="AB529" s="95"/>
      <c r="AC529" s="95"/>
      <c r="AD529" s="108"/>
      <c r="AE529" s="127"/>
    </row>
    <row r="530" spans="19:31" ht="12" customHeight="1" x14ac:dyDescent="0.2">
      <c r="U530" s="95"/>
      <c r="V530" s="95"/>
      <c r="W530" s="95"/>
      <c r="X530" s="95"/>
      <c r="Y530" s="95"/>
      <c r="Z530" s="95"/>
      <c r="AA530" s="95"/>
      <c r="AB530" s="95"/>
      <c r="AC530" s="95"/>
      <c r="AE530" s="127"/>
    </row>
    <row r="531" spans="19:31" ht="12" customHeight="1" x14ac:dyDescent="0.2">
      <c r="S531" s="107"/>
      <c r="T531" s="107"/>
      <c r="U531" s="95"/>
      <c r="V531" s="95"/>
      <c r="W531" s="95"/>
      <c r="X531" s="95"/>
      <c r="Y531" s="95"/>
      <c r="Z531" s="95"/>
      <c r="AA531" s="95"/>
      <c r="AB531" s="95"/>
      <c r="AC531" s="95"/>
      <c r="AD531" s="108"/>
      <c r="AE531" s="127"/>
    </row>
    <row r="532" spans="19:31" ht="12" customHeight="1" x14ac:dyDescent="0.2">
      <c r="S532" s="107"/>
      <c r="T532" s="107"/>
      <c r="U532" s="95"/>
      <c r="V532" s="95"/>
      <c r="W532" s="95"/>
      <c r="X532" s="95"/>
      <c r="Y532" s="95"/>
      <c r="Z532" s="95"/>
      <c r="AA532" s="95"/>
      <c r="AB532" s="95"/>
      <c r="AC532" s="95"/>
      <c r="AD532" s="108"/>
      <c r="AE532" s="127"/>
    </row>
    <row r="533" spans="19:31" ht="12" customHeight="1" x14ac:dyDescent="0.2">
      <c r="U533" s="95"/>
      <c r="V533" s="95"/>
      <c r="W533" s="95"/>
      <c r="X533" s="95"/>
      <c r="Y533" s="95"/>
      <c r="Z533" s="95"/>
      <c r="AA533" s="95"/>
      <c r="AB533" s="95"/>
      <c r="AC533" s="95"/>
      <c r="AE533" s="127"/>
    </row>
    <row r="534" spans="19:31" ht="12" customHeight="1" x14ac:dyDescent="0.2">
      <c r="S534" s="107"/>
      <c r="T534" s="107"/>
      <c r="U534" s="95"/>
      <c r="V534" s="95"/>
      <c r="W534" s="95"/>
      <c r="X534" s="95"/>
      <c r="Y534" s="95"/>
      <c r="Z534" s="95"/>
      <c r="AA534" s="95"/>
      <c r="AB534" s="95"/>
      <c r="AC534" s="95"/>
      <c r="AD534" s="108"/>
      <c r="AE534" s="127"/>
    </row>
    <row r="535" spans="19:31" ht="12" customHeight="1" x14ac:dyDescent="0.2">
      <c r="S535" s="107"/>
      <c r="T535" s="107"/>
      <c r="U535" s="95"/>
      <c r="V535" s="95"/>
      <c r="W535" s="95"/>
      <c r="X535" s="95"/>
      <c r="Y535" s="95"/>
      <c r="Z535" s="95"/>
      <c r="AA535" s="95"/>
      <c r="AB535" s="95"/>
      <c r="AC535" s="95"/>
      <c r="AD535" s="108"/>
      <c r="AE535" s="127"/>
    </row>
    <row r="536" spans="19:31" ht="12" customHeight="1" x14ac:dyDescent="0.2">
      <c r="U536" s="95"/>
      <c r="V536" s="95"/>
      <c r="W536" s="95"/>
      <c r="X536" s="95"/>
      <c r="Y536" s="95"/>
      <c r="Z536" s="95"/>
      <c r="AA536" s="95"/>
      <c r="AB536" s="95"/>
      <c r="AC536" s="95"/>
      <c r="AE536" s="127"/>
    </row>
    <row r="537" spans="19:31" ht="12" customHeight="1" x14ac:dyDescent="0.2">
      <c r="S537" s="107"/>
      <c r="T537" s="107"/>
      <c r="U537" s="95"/>
      <c r="V537" s="95"/>
      <c r="W537" s="95"/>
      <c r="X537" s="95"/>
      <c r="Y537" s="95"/>
      <c r="Z537" s="95"/>
      <c r="AA537" s="95"/>
      <c r="AB537" s="95"/>
      <c r="AC537" s="95"/>
      <c r="AD537" s="108"/>
      <c r="AE537" s="127"/>
    </row>
    <row r="538" spans="19:31" ht="12" customHeight="1" x14ac:dyDescent="0.2">
      <c r="S538" s="107"/>
      <c r="T538" s="107"/>
      <c r="U538" s="95"/>
      <c r="V538" s="95"/>
      <c r="W538" s="95"/>
      <c r="X538" s="95"/>
      <c r="Y538" s="95"/>
      <c r="Z538" s="95"/>
      <c r="AA538" s="95"/>
      <c r="AB538" s="95"/>
      <c r="AC538" s="95"/>
      <c r="AD538" s="108"/>
      <c r="AE538" s="127"/>
    </row>
    <row r="539" spans="19:31" ht="12" customHeight="1" x14ac:dyDescent="0.2">
      <c r="U539" s="95"/>
      <c r="V539" s="95"/>
      <c r="W539" s="95"/>
      <c r="X539" s="95"/>
      <c r="Y539" s="95"/>
      <c r="Z539" s="95"/>
      <c r="AA539" s="95"/>
      <c r="AB539" s="95"/>
      <c r="AC539" s="95"/>
      <c r="AE539" s="127"/>
    </row>
    <row r="540" spans="19:31" ht="12" customHeight="1" x14ac:dyDescent="0.2">
      <c r="S540" s="107"/>
      <c r="T540" s="107"/>
      <c r="U540" s="95"/>
      <c r="V540" s="95"/>
      <c r="W540" s="95"/>
      <c r="X540" s="95"/>
      <c r="Y540" s="95"/>
      <c r="Z540" s="95"/>
      <c r="AA540" s="95"/>
      <c r="AB540" s="95"/>
      <c r="AC540" s="95"/>
      <c r="AD540" s="108"/>
      <c r="AE540" s="127"/>
    </row>
    <row r="541" spans="19:31" ht="12" customHeight="1" x14ac:dyDescent="0.2">
      <c r="S541" s="107"/>
      <c r="T541" s="107"/>
      <c r="U541" s="95"/>
      <c r="V541" s="95"/>
      <c r="W541" s="95"/>
      <c r="X541" s="95"/>
      <c r="Y541" s="95"/>
      <c r="Z541" s="95"/>
      <c r="AA541" s="95"/>
      <c r="AB541" s="95"/>
      <c r="AC541" s="95"/>
      <c r="AD541" s="108"/>
      <c r="AE541" s="127"/>
    </row>
    <row r="542" spans="19:31" ht="12" customHeight="1" x14ac:dyDescent="0.2">
      <c r="S542" s="107"/>
      <c r="T542" s="107"/>
      <c r="U542" s="95"/>
      <c r="V542" s="95"/>
      <c r="W542" s="95"/>
      <c r="X542" s="95"/>
      <c r="Y542" s="95"/>
      <c r="Z542" s="95"/>
      <c r="AA542" s="95"/>
      <c r="AB542" s="95"/>
      <c r="AC542" s="95"/>
      <c r="AD542" s="108"/>
      <c r="AE542" s="127"/>
    </row>
    <row r="543" spans="19:31" ht="12" customHeight="1" x14ac:dyDescent="0.2">
      <c r="U543" s="95"/>
      <c r="V543" s="95"/>
      <c r="W543" s="95"/>
      <c r="X543" s="95"/>
      <c r="Y543" s="95"/>
      <c r="Z543" s="95"/>
      <c r="AA543" s="95"/>
      <c r="AB543" s="95"/>
      <c r="AC543" s="95"/>
      <c r="AE543" s="127"/>
    </row>
    <row r="544" spans="19:31" ht="12" customHeight="1" x14ac:dyDescent="0.2">
      <c r="S544" s="107"/>
      <c r="T544" s="107"/>
      <c r="U544" s="95"/>
      <c r="V544" s="95"/>
      <c r="W544" s="95"/>
      <c r="X544" s="95"/>
      <c r="Y544" s="95"/>
      <c r="Z544" s="95"/>
      <c r="AA544" s="95"/>
      <c r="AB544" s="95"/>
      <c r="AC544" s="95"/>
      <c r="AD544" s="108"/>
      <c r="AE544" s="127"/>
    </row>
    <row r="545" spans="19:31" ht="12" customHeight="1" x14ac:dyDescent="0.2">
      <c r="S545" s="107"/>
      <c r="T545" s="107"/>
      <c r="U545" s="95"/>
      <c r="V545" s="95"/>
      <c r="W545" s="95"/>
      <c r="X545" s="95"/>
      <c r="Y545" s="95"/>
      <c r="Z545" s="95"/>
      <c r="AA545" s="95"/>
      <c r="AB545" s="95"/>
      <c r="AC545" s="95"/>
      <c r="AD545" s="108"/>
      <c r="AE545" s="127"/>
    </row>
    <row r="546" spans="19:31" ht="12" customHeight="1" x14ac:dyDescent="0.2">
      <c r="U546" s="95"/>
      <c r="V546" s="95"/>
      <c r="W546" s="95"/>
      <c r="X546" s="95"/>
      <c r="Y546" s="95"/>
      <c r="Z546" s="95"/>
      <c r="AA546" s="95"/>
      <c r="AB546" s="95"/>
      <c r="AC546" s="95"/>
      <c r="AE546" s="127"/>
    </row>
    <row r="547" spans="19:31" ht="12" customHeight="1" x14ac:dyDescent="0.2">
      <c r="S547" s="107"/>
      <c r="T547" s="107"/>
      <c r="U547" s="95"/>
      <c r="V547" s="95"/>
      <c r="W547" s="95"/>
      <c r="X547" s="95"/>
      <c r="Y547" s="95"/>
      <c r="Z547" s="95"/>
      <c r="AA547" s="95"/>
      <c r="AB547" s="95"/>
      <c r="AC547" s="95"/>
      <c r="AD547" s="108"/>
      <c r="AE547" s="127"/>
    </row>
    <row r="548" spans="19:31" ht="12" customHeight="1" x14ac:dyDescent="0.2">
      <c r="S548" s="107"/>
      <c r="T548" s="107"/>
      <c r="U548" s="95"/>
      <c r="V548" s="95"/>
      <c r="W548" s="95"/>
      <c r="X548" s="95"/>
      <c r="Y548" s="95"/>
      <c r="Z548" s="95"/>
      <c r="AA548" s="95"/>
      <c r="AB548" s="95"/>
      <c r="AC548" s="95"/>
      <c r="AD548" s="108"/>
      <c r="AE548" s="127"/>
    </row>
    <row r="549" spans="19:31" ht="12" customHeight="1" x14ac:dyDescent="0.2">
      <c r="U549" s="95"/>
      <c r="V549" s="95"/>
      <c r="W549" s="95"/>
      <c r="X549" s="95"/>
      <c r="Y549" s="95"/>
      <c r="Z549" s="95"/>
      <c r="AA549" s="95"/>
      <c r="AB549" s="95"/>
      <c r="AC549" s="95"/>
      <c r="AE549" s="127"/>
    </row>
    <row r="550" spans="19:31" ht="12" customHeight="1" x14ac:dyDescent="0.2">
      <c r="S550" s="107"/>
      <c r="T550" s="107"/>
      <c r="U550" s="95"/>
      <c r="V550" s="95"/>
      <c r="W550" s="95"/>
      <c r="X550" s="95"/>
      <c r="Y550" s="95"/>
      <c r="Z550" s="95"/>
      <c r="AA550" s="95"/>
      <c r="AB550" s="95"/>
      <c r="AC550" s="95"/>
      <c r="AD550" s="108"/>
      <c r="AE550" s="127"/>
    </row>
    <row r="551" spans="19:31" ht="12" customHeight="1" x14ac:dyDescent="0.2">
      <c r="S551" s="107"/>
      <c r="T551" s="107"/>
      <c r="U551" s="95"/>
      <c r="V551" s="95"/>
      <c r="W551" s="95"/>
      <c r="X551" s="95"/>
      <c r="Y551" s="95"/>
      <c r="Z551" s="95"/>
      <c r="AA551" s="95"/>
      <c r="AB551" s="95"/>
      <c r="AC551" s="95"/>
      <c r="AD551" s="108"/>
      <c r="AE551" s="127"/>
    </row>
    <row r="552" spans="19:31" ht="12" customHeight="1" x14ac:dyDescent="0.2">
      <c r="S552" s="107"/>
      <c r="T552" s="107"/>
      <c r="U552" s="95"/>
      <c r="V552" s="95"/>
      <c r="W552" s="95"/>
      <c r="X552" s="95"/>
      <c r="Y552" s="95"/>
      <c r="Z552" s="95"/>
      <c r="AA552" s="95"/>
      <c r="AB552" s="95"/>
      <c r="AC552" s="95"/>
      <c r="AD552" s="108"/>
      <c r="AE552" s="127"/>
    </row>
    <row r="553" spans="19:31" ht="12" customHeight="1" x14ac:dyDescent="0.2">
      <c r="U553" s="95"/>
      <c r="V553" s="95"/>
      <c r="W553" s="95"/>
      <c r="X553" s="95"/>
      <c r="Y553" s="95"/>
      <c r="Z553" s="95"/>
      <c r="AA553" s="95"/>
      <c r="AB553" s="95"/>
      <c r="AC553" s="95"/>
      <c r="AE553" s="127"/>
    </row>
    <row r="554" spans="19:31" ht="12" customHeight="1" x14ac:dyDescent="0.2">
      <c r="S554" s="107"/>
      <c r="T554" s="107"/>
      <c r="U554" s="95"/>
      <c r="V554" s="95"/>
      <c r="W554" s="95"/>
      <c r="X554" s="95"/>
      <c r="Y554" s="95"/>
      <c r="Z554" s="95"/>
      <c r="AA554" s="95"/>
      <c r="AB554" s="95"/>
      <c r="AC554" s="95"/>
      <c r="AD554" s="108"/>
      <c r="AE554" s="127"/>
    </row>
    <row r="555" spans="19:31" ht="12" customHeight="1" x14ac:dyDescent="0.2">
      <c r="S555" s="107"/>
      <c r="T555" s="107"/>
      <c r="U555" s="95"/>
      <c r="V555" s="95"/>
      <c r="W555" s="95"/>
      <c r="X555" s="95"/>
      <c r="Y555" s="95"/>
      <c r="Z555" s="95"/>
      <c r="AA555" s="95"/>
      <c r="AB555" s="95"/>
      <c r="AC555" s="95"/>
      <c r="AD555" s="108"/>
      <c r="AE555" s="127"/>
    </row>
    <row r="556" spans="19:31" ht="12" customHeight="1" x14ac:dyDescent="0.2">
      <c r="U556" s="95"/>
      <c r="V556" s="95"/>
      <c r="W556" s="95"/>
      <c r="X556" s="95"/>
      <c r="Y556" s="95"/>
      <c r="Z556" s="95"/>
      <c r="AA556" s="95"/>
      <c r="AB556" s="95"/>
      <c r="AC556" s="95"/>
      <c r="AE556" s="127"/>
    </row>
    <row r="557" spans="19:31" ht="12" customHeight="1" x14ac:dyDescent="0.2">
      <c r="S557" s="107"/>
      <c r="T557" s="107"/>
      <c r="U557" s="95"/>
      <c r="V557" s="95"/>
      <c r="W557" s="95"/>
      <c r="X557" s="95"/>
      <c r="Y557" s="95"/>
      <c r="Z557" s="95"/>
      <c r="AA557" s="95"/>
      <c r="AB557" s="95"/>
      <c r="AC557" s="95"/>
      <c r="AD557" s="108"/>
      <c r="AE557" s="127"/>
    </row>
    <row r="558" spans="19:31" ht="12" customHeight="1" x14ac:dyDescent="0.2">
      <c r="S558" s="106"/>
      <c r="T558" s="106"/>
      <c r="U558" s="106"/>
      <c r="V558" s="95"/>
      <c r="W558" s="95"/>
      <c r="X558" s="95"/>
      <c r="Y558" s="95"/>
      <c r="Z558" s="95"/>
      <c r="AA558" s="95"/>
      <c r="AB558" s="95"/>
      <c r="AC558" s="95"/>
      <c r="AD558" s="112"/>
      <c r="AE558" s="127"/>
    </row>
    <row r="559" spans="19:31" ht="12" customHeight="1" x14ac:dyDescent="0.2">
      <c r="S559" s="107"/>
      <c r="T559" s="107"/>
      <c r="U559" s="95"/>
      <c r="V559" s="95"/>
      <c r="W559" s="95"/>
      <c r="X559" s="95"/>
      <c r="Y559" s="95"/>
      <c r="Z559" s="95"/>
      <c r="AA559" s="95"/>
      <c r="AB559" s="95"/>
      <c r="AC559" s="95"/>
      <c r="AD559" s="108"/>
      <c r="AE559" s="127"/>
    </row>
    <row r="560" spans="19:31" ht="12" customHeight="1" x14ac:dyDescent="0.2">
      <c r="S560" s="106"/>
      <c r="T560" s="87"/>
      <c r="U560" s="87"/>
      <c r="V560" s="95"/>
      <c r="W560" s="95"/>
      <c r="X560" s="95"/>
      <c r="Y560" s="95"/>
      <c r="Z560" s="95"/>
      <c r="AA560" s="95"/>
      <c r="AB560" s="95"/>
      <c r="AC560" s="95"/>
      <c r="AD560" s="88"/>
      <c r="AE560" s="127"/>
    </row>
    <row r="561" spans="19:31" ht="12" customHeight="1" x14ac:dyDescent="0.2">
      <c r="S561" s="107"/>
      <c r="T561" s="107"/>
      <c r="U561" s="95"/>
      <c r="V561" s="95"/>
      <c r="W561" s="95"/>
      <c r="X561" s="95"/>
      <c r="Y561" s="95"/>
      <c r="Z561" s="95"/>
      <c r="AA561" s="95"/>
      <c r="AB561" s="95"/>
      <c r="AC561" s="95"/>
      <c r="AD561" s="108"/>
      <c r="AE561" s="127"/>
    </row>
    <row r="562" spans="19:31" ht="12" customHeight="1" x14ac:dyDescent="0.2">
      <c r="S562" s="107"/>
      <c r="T562" s="107"/>
      <c r="U562" s="95"/>
      <c r="V562" s="95"/>
      <c r="W562" s="95"/>
      <c r="X562" s="95"/>
      <c r="Y562" s="95"/>
      <c r="Z562" s="95"/>
      <c r="AA562" s="95"/>
      <c r="AB562" s="95"/>
      <c r="AC562" s="95"/>
      <c r="AE562" s="127"/>
    </row>
    <row r="563" spans="19:31" ht="12" customHeight="1" x14ac:dyDescent="0.2">
      <c r="S563" s="107"/>
      <c r="T563" s="107"/>
      <c r="U563" s="95"/>
      <c r="V563" s="95"/>
      <c r="W563" s="95"/>
      <c r="X563" s="95"/>
      <c r="Y563" s="95"/>
      <c r="Z563" s="95"/>
      <c r="AA563" s="95"/>
      <c r="AB563" s="95"/>
      <c r="AC563" s="95"/>
      <c r="AD563" s="108"/>
      <c r="AE563" s="127"/>
    </row>
    <row r="564" spans="19:31" ht="12" customHeight="1" x14ac:dyDescent="0.2">
      <c r="S564" s="107"/>
      <c r="T564" s="107"/>
      <c r="U564" s="95"/>
      <c r="V564" s="95"/>
      <c r="W564" s="95"/>
      <c r="X564" s="95"/>
      <c r="Y564" s="95"/>
      <c r="Z564" s="95"/>
      <c r="AA564" s="95"/>
      <c r="AB564" s="95"/>
      <c r="AC564" s="95"/>
      <c r="AD564" s="108"/>
      <c r="AE564" s="127"/>
    </row>
    <row r="565" spans="19:31" ht="12" customHeight="1" x14ac:dyDescent="0.2">
      <c r="S565" s="107"/>
      <c r="T565" s="107"/>
      <c r="U565" s="95"/>
      <c r="V565" s="95"/>
      <c r="W565" s="95"/>
      <c r="X565" s="95"/>
      <c r="Y565" s="95"/>
      <c r="Z565" s="95"/>
      <c r="AA565" s="95"/>
      <c r="AB565" s="95"/>
      <c r="AC565" s="95"/>
      <c r="AD565" s="108"/>
      <c r="AE565" s="127"/>
    </row>
    <row r="566" spans="19:31" ht="12" customHeight="1" x14ac:dyDescent="0.2">
      <c r="S566" s="107"/>
      <c r="T566" s="107"/>
      <c r="U566" s="95"/>
      <c r="V566" s="95"/>
      <c r="W566" s="95"/>
      <c r="X566" s="95"/>
      <c r="Y566" s="95"/>
      <c r="Z566" s="95"/>
      <c r="AA566" s="95"/>
      <c r="AB566" s="95"/>
      <c r="AC566" s="95"/>
      <c r="AE566" s="127"/>
    </row>
    <row r="567" spans="19:31" ht="12" customHeight="1" x14ac:dyDescent="0.2">
      <c r="S567" s="107"/>
      <c r="T567" s="107"/>
      <c r="U567" s="95"/>
      <c r="V567" s="95"/>
      <c r="W567" s="95"/>
      <c r="X567" s="95"/>
      <c r="Y567" s="95"/>
      <c r="Z567" s="95"/>
      <c r="AA567" s="95"/>
      <c r="AB567" s="95"/>
      <c r="AC567" s="95"/>
      <c r="AE567" s="127"/>
    </row>
    <row r="568" spans="19:31" ht="12" customHeight="1" x14ac:dyDescent="0.2">
      <c r="S568" s="107"/>
      <c r="T568" s="107"/>
      <c r="U568" s="95"/>
      <c r="V568" s="95"/>
      <c r="W568" s="95"/>
      <c r="X568" s="95"/>
      <c r="Y568" s="95"/>
      <c r="Z568" s="95"/>
      <c r="AA568" s="95"/>
      <c r="AB568" s="95"/>
      <c r="AC568" s="95"/>
      <c r="AE568" s="127"/>
    </row>
    <row r="569" spans="19:31" ht="12" customHeight="1" x14ac:dyDescent="0.2">
      <c r="S569" s="107"/>
      <c r="T569" s="107"/>
      <c r="U569" s="95"/>
      <c r="V569" s="95"/>
      <c r="W569" s="95"/>
      <c r="X569" s="95"/>
      <c r="Y569" s="95"/>
      <c r="Z569" s="95"/>
      <c r="AA569" s="95"/>
      <c r="AB569" s="95"/>
      <c r="AC569" s="95"/>
      <c r="AE569" s="127"/>
    </row>
    <row r="570" spans="19:31" ht="12" customHeight="1" x14ac:dyDescent="0.2">
      <c r="S570" s="107"/>
      <c r="T570" s="107"/>
      <c r="U570" s="95"/>
      <c r="V570" s="95"/>
      <c r="W570" s="95"/>
      <c r="X570" s="95"/>
      <c r="Y570" s="95"/>
      <c r="Z570" s="95"/>
      <c r="AA570" s="95"/>
      <c r="AB570" s="95"/>
      <c r="AC570" s="95"/>
      <c r="AE570" s="127"/>
    </row>
    <row r="571" spans="19:31" ht="12" customHeight="1" x14ac:dyDescent="0.2">
      <c r="S571" s="107"/>
      <c r="T571" s="107"/>
      <c r="U571" s="95"/>
      <c r="V571" s="95"/>
      <c r="W571" s="95"/>
      <c r="X571" s="95"/>
      <c r="Y571" s="95"/>
      <c r="Z571" s="95"/>
      <c r="AA571" s="95"/>
      <c r="AB571" s="95"/>
      <c r="AC571" s="95"/>
      <c r="AD571" s="108"/>
      <c r="AE571" s="127"/>
    </row>
    <row r="572" spans="19:31" ht="12" customHeight="1" x14ac:dyDescent="0.2">
      <c r="S572" s="107"/>
      <c r="T572" s="107"/>
      <c r="U572" s="95"/>
      <c r="V572" s="95"/>
      <c r="W572" s="95"/>
      <c r="X572" s="95"/>
      <c r="Y572" s="95"/>
      <c r="Z572" s="95"/>
      <c r="AA572" s="95"/>
      <c r="AB572" s="95"/>
      <c r="AC572" s="95"/>
      <c r="AD572" s="108"/>
      <c r="AE572" s="127"/>
    </row>
    <row r="573" spans="19:31" ht="12" customHeight="1" x14ac:dyDescent="0.2">
      <c r="S573" s="107"/>
      <c r="T573" s="107"/>
      <c r="U573" s="95"/>
      <c r="V573" s="95"/>
      <c r="W573" s="95"/>
      <c r="X573" s="95"/>
      <c r="Y573" s="95"/>
      <c r="Z573" s="95"/>
      <c r="AA573" s="95"/>
      <c r="AB573" s="95"/>
      <c r="AC573" s="95"/>
      <c r="AE573" s="127"/>
    </row>
    <row r="574" spans="19:31" ht="12" customHeight="1" x14ac:dyDescent="0.2">
      <c r="S574" s="107"/>
      <c r="T574" s="107"/>
      <c r="U574" s="95"/>
      <c r="V574" s="95"/>
      <c r="W574" s="95"/>
      <c r="X574" s="95"/>
      <c r="Y574" s="95"/>
      <c r="Z574" s="95"/>
      <c r="AA574" s="95"/>
      <c r="AB574" s="95"/>
      <c r="AC574" s="95"/>
      <c r="AD574" s="108"/>
      <c r="AE574" s="127"/>
    </row>
    <row r="575" spans="19:31" ht="12" customHeight="1" x14ac:dyDescent="0.2">
      <c r="S575" s="107"/>
      <c r="T575" s="107"/>
      <c r="U575" s="95"/>
      <c r="V575" s="95"/>
      <c r="W575" s="95"/>
      <c r="X575" s="95"/>
      <c r="Y575" s="95"/>
      <c r="Z575" s="95"/>
      <c r="AA575" s="95"/>
      <c r="AB575" s="95"/>
      <c r="AC575" s="95"/>
      <c r="AD575" s="108"/>
      <c r="AE575" s="127"/>
    </row>
    <row r="576" spans="19:31" ht="12" customHeight="1" x14ac:dyDescent="0.2">
      <c r="S576" s="107"/>
      <c r="T576" s="107"/>
      <c r="U576" s="95"/>
      <c r="V576" s="95"/>
      <c r="W576" s="95"/>
      <c r="X576" s="95"/>
      <c r="Y576" s="95"/>
      <c r="Z576" s="95"/>
      <c r="AA576" s="95"/>
      <c r="AB576" s="95"/>
      <c r="AC576" s="95"/>
      <c r="AD576" s="108"/>
      <c r="AE576" s="127"/>
    </row>
    <row r="577" spans="19:31" ht="12" customHeight="1" x14ac:dyDescent="0.2">
      <c r="S577" s="107"/>
      <c r="T577" s="107"/>
      <c r="U577" s="95"/>
      <c r="V577" s="95"/>
      <c r="W577" s="95"/>
      <c r="X577" s="95"/>
      <c r="Y577" s="95"/>
      <c r="Z577" s="95"/>
      <c r="AA577" s="95"/>
      <c r="AB577" s="95"/>
      <c r="AC577" s="95"/>
      <c r="AE577" s="127"/>
    </row>
    <row r="578" spans="19:31" ht="12" customHeight="1" x14ac:dyDescent="0.2">
      <c r="S578" s="107"/>
      <c r="T578" s="107"/>
      <c r="U578" s="95"/>
      <c r="V578" s="95"/>
      <c r="W578" s="95"/>
      <c r="X578" s="95"/>
      <c r="Y578" s="95"/>
      <c r="Z578" s="95"/>
      <c r="AA578" s="95"/>
      <c r="AB578" s="95"/>
      <c r="AC578" s="95"/>
      <c r="AD578" s="108"/>
      <c r="AE578" s="127"/>
    </row>
    <row r="579" spans="19:31" ht="12" customHeight="1" x14ac:dyDescent="0.2">
      <c r="S579" s="107"/>
      <c r="T579" s="107"/>
      <c r="U579" s="95"/>
      <c r="V579" s="95"/>
      <c r="W579" s="95"/>
      <c r="X579" s="95"/>
      <c r="Y579" s="95"/>
      <c r="Z579" s="95"/>
      <c r="AA579" s="95"/>
      <c r="AB579" s="95"/>
      <c r="AC579" s="95"/>
      <c r="AD579" s="108"/>
      <c r="AE579" s="127"/>
    </row>
    <row r="580" spans="19:31" ht="12" customHeight="1" x14ac:dyDescent="0.2">
      <c r="S580" s="107"/>
      <c r="T580" s="107"/>
      <c r="U580" s="95"/>
      <c r="V580" s="95"/>
      <c r="W580" s="95"/>
      <c r="X580" s="95"/>
      <c r="Y580" s="95"/>
      <c r="Z580" s="95"/>
      <c r="AA580" s="95"/>
      <c r="AB580" s="95"/>
      <c r="AC580" s="95"/>
      <c r="AE580" s="127"/>
    </row>
    <row r="581" spans="19:31" ht="12" customHeight="1" x14ac:dyDescent="0.2">
      <c r="S581" s="107"/>
      <c r="T581" s="107"/>
      <c r="U581" s="95"/>
      <c r="V581" s="95"/>
      <c r="W581" s="95"/>
      <c r="X581" s="95"/>
      <c r="Y581" s="95"/>
      <c r="Z581" s="95"/>
      <c r="AA581" s="95"/>
      <c r="AB581" s="95"/>
      <c r="AC581" s="95"/>
      <c r="AD581" s="108"/>
      <c r="AE581" s="127"/>
    </row>
    <row r="582" spans="19:31" ht="12" customHeight="1" x14ac:dyDescent="0.2">
      <c r="S582" s="107"/>
      <c r="T582" s="107"/>
      <c r="U582" s="95"/>
      <c r="V582" s="95"/>
      <c r="W582" s="95"/>
      <c r="X582" s="95"/>
      <c r="Y582" s="95"/>
      <c r="Z582" s="95"/>
      <c r="AA582" s="95"/>
      <c r="AB582" s="95"/>
      <c r="AC582" s="95"/>
      <c r="AD582" s="108"/>
      <c r="AE582" s="127"/>
    </row>
    <row r="583" spans="19:31" ht="12" customHeight="1" x14ac:dyDescent="0.2">
      <c r="S583" s="107"/>
      <c r="T583" s="107"/>
      <c r="U583" s="95"/>
      <c r="V583" s="95"/>
      <c r="W583" s="95"/>
      <c r="X583" s="95"/>
      <c r="Y583" s="95"/>
      <c r="Z583" s="95"/>
      <c r="AA583" s="95"/>
      <c r="AB583" s="95"/>
      <c r="AC583" s="95"/>
      <c r="AE583" s="127"/>
    </row>
    <row r="584" spans="19:31" ht="12" customHeight="1" x14ac:dyDescent="0.2">
      <c r="S584" s="107"/>
      <c r="T584" s="107"/>
      <c r="U584" s="95"/>
      <c r="V584" s="95"/>
      <c r="W584" s="95"/>
      <c r="X584" s="95"/>
      <c r="Y584" s="95"/>
      <c r="Z584" s="95"/>
      <c r="AA584" s="95"/>
      <c r="AB584" s="95"/>
      <c r="AC584" s="95"/>
      <c r="AD584" s="108"/>
      <c r="AE584" s="127"/>
    </row>
    <row r="585" spans="19:31" ht="12" customHeight="1" x14ac:dyDescent="0.2">
      <c r="S585" s="107"/>
      <c r="T585" s="107"/>
      <c r="U585" s="95"/>
      <c r="V585" s="95"/>
      <c r="W585" s="95"/>
      <c r="X585" s="95"/>
      <c r="Y585" s="95"/>
      <c r="Z585" s="95"/>
      <c r="AA585" s="95"/>
      <c r="AB585" s="95"/>
      <c r="AC585" s="95"/>
      <c r="AD585" s="108"/>
      <c r="AE585" s="127"/>
    </row>
    <row r="586" spans="19:31" ht="12" customHeight="1" x14ac:dyDescent="0.2">
      <c r="S586" s="107"/>
      <c r="T586" s="107"/>
      <c r="U586" s="95"/>
      <c r="V586" s="95"/>
      <c r="W586" s="95"/>
      <c r="X586" s="95"/>
      <c r="Y586" s="95"/>
      <c r="Z586" s="95"/>
      <c r="AA586" s="95"/>
      <c r="AB586" s="95"/>
      <c r="AC586" s="95"/>
      <c r="AE586" s="127"/>
    </row>
    <row r="587" spans="19:31" ht="12" customHeight="1" x14ac:dyDescent="0.2">
      <c r="S587" s="107"/>
      <c r="T587" s="107"/>
      <c r="U587" s="95"/>
      <c r="V587" s="95"/>
      <c r="W587" s="95"/>
      <c r="X587" s="95"/>
      <c r="Y587" s="95"/>
      <c r="Z587" s="95"/>
      <c r="AA587" s="95"/>
      <c r="AB587" s="95"/>
      <c r="AC587" s="95"/>
      <c r="AD587" s="108"/>
      <c r="AE587" s="127"/>
    </row>
    <row r="588" spans="19:31" ht="12" customHeight="1" x14ac:dyDescent="0.2">
      <c r="S588" s="107"/>
      <c r="T588" s="107"/>
      <c r="U588" s="95"/>
      <c r="V588" s="95"/>
      <c r="W588" s="95"/>
      <c r="X588" s="95"/>
      <c r="Y588" s="95"/>
      <c r="Z588" s="95"/>
      <c r="AA588" s="95"/>
      <c r="AB588" s="95"/>
      <c r="AC588" s="95"/>
      <c r="AD588" s="108"/>
      <c r="AE588" s="127"/>
    </row>
    <row r="589" spans="19:31" ht="12" customHeight="1" x14ac:dyDescent="0.2">
      <c r="S589" s="107"/>
      <c r="T589" s="107"/>
      <c r="U589" s="95"/>
      <c r="V589" s="95"/>
      <c r="W589" s="95"/>
      <c r="X589" s="95"/>
      <c r="Y589" s="95"/>
      <c r="Z589" s="95"/>
      <c r="AA589" s="95"/>
      <c r="AB589" s="95"/>
      <c r="AC589" s="95"/>
      <c r="AE589" s="127"/>
    </row>
    <row r="590" spans="19:31" ht="12" customHeight="1" x14ac:dyDescent="0.2">
      <c r="S590" s="107"/>
      <c r="T590" s="107"/>
      <c r="U590" s="95"/>
      <c r="V590" s="95"/>
      <c r="W590" s="95"/>
      <c r="X590" s="95"/>
      <c r="Y590" s="95"/>
      <c r="Z590" s="95"/>
      <c r="AA590" s="95"/>
      <c r="AB590" s="95"/>
      <c r="AC590" s="95"/>
      <c r="AD590" s="108"/>
      <c r="AE590" s="127"/>
    </row>
    <row r="591" spans="19:31" ht="12" customHeight="1" x14ac:dyDescent="0.2">
      <c r="S591" s="107"/>
      <c r="T591" s="107"/>
      <c r="U591" s="95"/>
      <c r="V591" s="95"/>
      <c r="W591" s="95"/>
      <c r="X591" s="95"/>
      <c r="Y591" s="95"/>
      <c r="Z591" s="95"/>
      <c r="AA591" s="95"/>
      <c r="AB591" s="95"/>
      <c r="AC591" s="95"/>
      <c r="AD591" s="108"/>
      <c r="AE591" s="127"/>
    </row>
    <row r="592" spans="19:31" ht="12" customHeight="1" x14ac:dyDescent="0.2">
      <c r="S592" s="107"/>
      <c r="T592" s="107"/>
      <c r="U592" s="95"/>
      <c r="V592" s="95"/>
      <c r="W592" s="95"/>
      <c r="X592" s="95"/>
      <c r="Y592" s="95"/>
      <c r="Z592" s="95"/>
      <c r="AA592" s="95"/>
      <c r="AB592" s="95"/>
      <c r="AC592" s="95"/>
      <c r="AE592" s="127"/>
    </row>
    <row r="593" spans="19:31" ht="12" customHeight="1" x14ac:dyDescent="0.2">
      <c r="S593" s="107"/>
      <c r="T593" s="107"/>
      <c r="U593" s="95"/>
      <c r="V593" s="95"/>
      <c r="W593" s="95"/>
      <c r="X593" s="95"/>
      <c r="Y593" s="95"/>
      <c r="Z593" s="95"/>
      <c r="AA593" s="95"/>
      <c r="AB593" s="95"/>
      <c r="AC593" s="95"/>
      <c r="AD593" s="108"/>
      <c r="AE593" s="127"/>
    </row>
    <row r="594" spans="19:31" ht="12" customHeight="1" x14ac:dyDescent="0.2">
      <c r="S594" s="107"/>
      <c r="T594" s="107"/>
      <c r="U594" s="95"/>
      <c r="V594" s="95"/>
      <c r="W594" s="95"/>
      <c r="X594" s="95"/>
      <c r="Y594" s="95"/>
      <c r="Z594" s="95"/>
      <c r="AA594" s="95"/>
      <c r="AB594" s="95"/>
      <c r="AC594" s="95"/>
      <c r="AE594" s="127"/>
    </row>
    <row r="595" spans="19:31" ht="12" customHeight="1" x14ac:dyDescent="0.2">
      <c r="S595" s="107"/>
      <c r="T595" s="107"/>
      <c r="U595" s="95"/>
      <c r="V595" s="95"/>
      <c r="W595" s="95"/>
      <c r="X595" s="95"/>
      <c r="Y595" s="95"/>
      <c r="Z595" s="95"/>
      <c r="AA595" s="95"/>
      <c r="AB595" s="95"/>
      <c r="AC595" s="95"/>
      <c r="AD595" s="108"/>
      <c r="AE595" s="127"/>
    </row>
    <row r="596" spans="19:31" ht="12" customHeight="1" x14ac:dyDescent="0.2">
      <c r="S596" s="107"/>
      <c r="T596" s="107"/>
      <c r="U596" s="95"/>
      <c r="V596" s="95"/>
      <c r="W596" s="95"/>
      <c r="X596" s="95"/>
      <c r="Y596" s="95"/>
      <c r="Z596" s="95"/>
      <c r="AA596" s="95"/>
      <c r="AB596" s="95"/>
      <c r="AC596" s="95"/>
      <c r="AE596" s="127"/>
    </row>
    <row r="597" spans="19:31" ht="12" customHeight="1" x14ac:dyDescent="0.2">
      <c r="S597" s="107"/>
      <c r="T597" s="107"/>
      <c r="U597" s="95"/>
      <c r="V597" s="95"/>
      <c r="W597" s="95"/>
      <c r="X597" s="95"/>
      <c r="Y597" s="95"/>
      <c r="Z597" s="95"/>
      <c r="AA597" s="95"/>
      <c r="AB597" s="95"/>
      <c r="AC597" s="95"/>
      <c r="AD597" s="108"/>
      <c r="AE597" s="127"/>
    </row>
    <row r="598" spans="19:31" ht="12" customHeight="1" x14ac:dyDescent="0.2">
      <c r="S598" s="107"/>
      <c r="T598" s="107"/>
      <c r="U598" s="95"/>
      <c r="V598" s="95"/>
      <c r="W598" s="95"/>
      <c r="X598" s="95"/>
      <c r="Y598" s="95"/>
      <c r="Z598" s="95"/>
      <c r="AA598" s="95"/>
      <c r="AB598" s="95"/>
      <c r="AC598" s="95"/>
      <c r="AD598" s="108"/>
      <c r="AE598" s="127"/>
    </row>
    <row r="599" spans="19:31" ht="12" customHeight="1" x14ac:dyDescent="0.2">
      <c r="S599" s="107"/>
      <c r="T599" s="107"/>
      <c r="U599" s="95"/>
      <c r="V599" s="95"/>
      <c r="W599" s="95"/>
      <c r="X599" s="95"/>
      <c r="Y599" s="95"/>
      <c r="Z599" s="95"/>
      <c r="AA599" s="95"/>
      <c r="AB599" s="95"/>
      <c r="AC599" s="95"/>
      <c r="AE599" s="127"/>
    </row>
    <row r="600" spans="19:31" ht="12" customHeight="1" x14ac:dyDescent="0.2">
      <c r="S600" s="107"/>
      <c r="T600" s="107"/>
      <c r="U600" s="95"/>
      <c r="V600" s="95"/>
      <c r="W600" s="95"/>
      <c r="X600" s="95"/>
      <c r="Y600" s="95"/>
      <c r="Z600" s="95"/>
      <c r="AA600" s="95"/>
      <c r="AB600" s="95"/>
      <c r="AC600" s="95"/>
      <c r="AD600" s="108"/>
      <c r="AE600" s="127"/>
    </row>
    <row r="601" spans="19:31" ht="12" customHeight="1" x14ac:dyDescent="0.2">
      <c r="S601" s="107"/>
      <c r="T601" s="107"/>
      <c r="U601" s="95"/>
      <c r="V601" s="95"/>
      <c r="W601" s="95"/>
      <c r="X601" s="95"/>
      <c r="Y601" s="95"/>
      <c r="Z601" s="95"/>
      <c r="AA601" s="95"/>
      <c r="AB601" s="95"/>
      <c r="AC601" s="95"/>
      <c r="AD601" s="108"/>
      <c r="AE601" s="127"/>
    </row>
    <row r="602" spans="19:31" ht="12" customHeight="1" x14ac:dyDescent="0.2">
      <c r="S602" s="107"/>
      <c r="T602" s="107"/>
      <c r="U602" s="95"/>
      <c r="V602" s="95"/>
      <c r="W602" s="95"/>
      <c r="X602" s="95"/>
      <c r="Y602" s="95"/>
      <c r="Z602" s="95"/>
      <c r="AA602" s="95"/>
      <c r="AB602" s="95"/>
      <c r="AC602" s="95"/>
      <c r="AE602" s="127"/>
    </row>
    <row r="603" spans="19:31" ht="12" customHeight="1" x14ac:dyDescent="0.2">
      <c r="S603" s="107"/>
      <c r="T603" s="107"/>
      <c r="U603" s="95"/>
      <c r="V603" s="95"/>
      <c r="W603" s="95"/>
      <c r="X603" s="95"/>
      <c r="Y603" s="95"/>
      <c r="Z603" s="95"/>
      <c r="AA603" s="95"/>
      <c r="AB603" s="95"/>
      <c r="AC603" s="95"/>
      <c r="AD603" s="108"/>
      <c r="AE603" s="127"/>
    </row>
    <row r="604" spans="19:31" ht="12" customHeight="1" x14ac:dyDescent="0.2">
      <c r="S604" s="107"/>
      <c r="T604" s="107"/>
      <c r="U604" s="95"/>
      <c r="V604" s="95"/>
      <c r="W604" s="95"/>
      <c r="X604" s="95"/>
      <c r="Y604" s="95"/>
      <c r="Z604" s="95"/>
      <c r="AA604" s="95"/>
      <c r="AB604" s="95"/>
      <c r="AC604" s="95"/>
      <c r="AD604" s="108"/>
      <c r="AE604" s="127"/>
    </row>
    <row r="605" spans="19:31" ht="12" customHeight="1" x14ac:dyDescent="0.2">
      <c r="S605" s="107"/>
      <c r="T605" s="107"/>
      <c r="U605" s="95"/>
      <c r="V605" s="95"/>
      <c r="W605" s="95"/>
      <c r="X605" s="95"/>
      <c r="Y605" s="95"/>
      <c r="Z605" s="95"/>
      <c r="AA605" s="95"/>
      <c r="AB605" s="95"/>
      <c r="AC605" s="95"/>
      <c r="AD605" s="108"/>
      <c r="AE605" s="127"/>
    </row>
    <row r="606" spans="19:31" ht="12" customHeight="1" x14ac:dyDescent="0.2">
      <c r="S606" s="107"/>
      <c r="T606" s="107"/>
      <c r="U606" s="95"/>
      <c r="V606" s="95"/>
      <c r="W606" s="95"/>
      <c r="X606" s="95"/>
      <c r="Y606" s="95"/>
      <c r="Z606" s="95"/>
      <c r="AA606" s="95"/>
      <c r="AB606" s="95"/>
      <c r="AC606" s="95"/>
      <c r="AE606" s="127"/>
    </row>
    <row r="607" spans="19:31" ht="12" customHeight="1" x14ac:dyDescent="0.2">
      <c r="S607" s="107"/>
      <c r="T607" s="107"/>
      <c r="U607" s="95"/>
      <c r="V607" s="95"/>
      <c r="W607" s="95"/>
      <c r="X607" s="95"/>
      <c r="Y607" s="95"/>
      <c r="Z607" s="95"/>
      <c r="AA607" s="95"/>
      <c r="AB607" s="95"/>
      <c r="AC607" s="95"/>
      <c r="AD607" s="108"/>
      <c r="AE607" s="127"/>
    </row>
    <row r="608" spans="19:31" ht="12" customHeight="1" x14ac:dyDescent="0.2">
      <c r="S608" s="107"/>
      <c r="T608" s="107"/>
      <c r="U608" s="95"/>
      <c r="V608" s="95"/>
      <c r="W608" s="95"/>
      <c r="X608" s="95"/>
      <c r="Y608" s="95"/>
      <c r="Z608" s="95"/>
      <c r="AA608" s="95"/>
      <c r="AB608" s="95"/>
      <c r="AC608" s="95"/>
      <c r="AD608" s="108"/>
      <c r="AE608" s="127"/>
    </row>
    <row r="609" spans="19:31" ht="12" customHeight="1" x14ac:dyDescent="0.2">
      <c r="S609" s="107"/>
      <c r="T609" s="107"/>
      <c r="U609" s="95"/>
      <c r="V609" s="95"/>
      <c r="W609" s="95"/>
      <c r="X609" s="95"/>
      <c r="Y609" s="95"/>
      <c r="Z609" s="95"/>
      <c r="AA609" s="95"/>
      <c r="AB609" s="95"/>
      <c r="AC609" s="95"/>
      <c r="AD609" s="108"/>
      <c r="AE609" s="127"/>
    </row>
    <row r="610" spans="19:31" ht="12" customHeight="1" x14ac:dyDescent="0.2">
      <c r="S610" s="107"/>
      <c r="T610" s="107"/>
      <c r="U610" s="95"/>
      <c r="V610" s="95"/>
      <c r="W610" s="95"/>
      <c r="X610" s="95"/>
      <c r="Y610" s="95"/>
      <c r="Z610" s="95"/>
      <c r="AA610" s="95"/>
      <c r="AB610" s="95"/>
      <c r="AC610" s="95"/>
      <c r="AE610" s="127"/>
    </row>
    <row r="611" spans="19:31" ht="12" customHeight="1" x14ac:dyDescent="0.2">
      <c r="S611" s="107"/>
      <c r="T611" s="107"/>
      <c r="U611" s="95"/>
      <c r="V611" s="95"/>
      <c r="W611" s="95"/>
      <c r="X611" s="95"/>
      <c r="Y611" s="95"/>
      <c r="Z611" s="95"/>
      <c r="AA611" s="95"/>
      <c r="AB611" s="95"/>
      <c r="AC611" s="95"/>
      <c r="AD611" s="108"/>
      <c r="AE611" s="127"/>
    </row>
    <row r="612" spans="19:31" ht="12" customHeight="1" x14ac:dyDescent="0.2">
      <c r="S612" s="107"/>
      <c r="T612" s="107"/>
      <c r="U612" s="95"/>
      <c r="V612" s="95"/>
      <c r="W612" s="95"/>
      <c r="X612" s="95"/>
      <c r="Y612" s="95"/>
      <c r="Z612" s="95"/>
      <c r="AA612" s="95"/>
      <c r="AB612" s="95"/>
      <c r="AC612" s="95"/>
      <c r="AD612" s="108"/>
      <c r="AE612" s="127"/>
    </row>
    <row r="613" spans="19:31" ht="12" customHeight="1" x14ac:dyDescent="0.2">
      <c r="S613" s="107"/>
      <c r="T613" s="107"/>
      <c r="U613" s="95"/>
      <c r="V613" s="95"/>
      <c r="W613" s="95"/>
      <c r="X613" s="95"/>
      <c r="Y613" s="95"/>
      <c r="Z613" s="95"/>
      <c r="AA613" s="95"/>
      <c r="AB613" s="95"/>
      <c r="AC613" s="95"/>
      <c r="AE613" s="127"/>
    </row>
    <row r="614" spans="19:31" ht="12" customHeight="1" x14ac:dyDescent="0.2">
      <c r="S614" s="107"/>
      <c r="T614" s="107"/>
      <c r="U614" s="95"/>
      <c r="V614" s="95"/>
      <c r="W614" s="95"/>
      <c r="X614" s="95"/>
      <c r="Y614" s="95"/>
      <c r="Z614" s="95"/>
      <c r="AA614" s="95"/>
      <c r="AB614" s="95"/>
      <c r="AC614" s="95"/>
      <c r="AD614" s="108"/>
      <c r="AE614" s="127"/>
    </row>
    <row r="615" spans="19:31" ht="12" customHeight="1" x14ac:dyDescent="0.2">
      <c r="S615" s="107"/>
      <c r="T615" s="107"/>
      <c r="U615" s="95"/>
      <c r="V615" s="95"/>
      <c r="W615" s="95"/>
      <c r="X615" s="95"/>
      <c r="Y615" s="95"/>
      <c r="Z615" s="95"/>
      <c r="AA615" s="95"/>
      <c r="AB615" s="95"/>
      <c r="AC615" s="95"/>
      <c r="AD615" s="108"/>
      <c r="AE615" s="127"/>
    </row>
    <row r="616" spans="19:31" ht="12" customHeight="1" x14ac:dyDescent="0.2">
      <c r="U616" s="95"/>
      <c r="V616" s="95"/>
      <c r="W616" s="95"/>
      <c r="X616" s="95"/>
      <c r="Y616" s="95"/>
      <c r="Z616" s="95"/>
      <c r="AA616" s="95"/>
      <c r="AB616" s="95"/>
      <c r="AC616" s="95"/>
      <c r="AE616" s="127"/>
    </row>
    <row r="617" spans="19:31" ht="12" customHeight="1" x14ac:dyDescent="0.2">
      <c r="U617" s="95"/>
      <c r="V617" s="95"/>
      <c r="W617" s="95"/>
      <c r="X617" s="95"/>
      <c r="Y617" s="95"/>
      <c r="Z617" s="95"/>
      <c r="AA617" s="95"/>
      <c r="AB617" s="95"/>
      <c r="AC617" s="95"/>
      <c r="AE617" s="127"/>
    </row>
    <row r="618" spans="19:31" ht="12" customHeight="1" x14ac:dyDescent="0.2">
      <c r="U618" s="95"/>
      <c r="V618" s="95"/>
      <c r="W618" s="95"/>
      <c r="X618" s="95"/>
      <c r="Y618" s="95"/>
      <c r="Z618" s="95"/>
      <c r="AA618" s="95"/>
      <c r="AB618" s="95"/>
      <c r="AC618" s="95"/>
      <c r="AE618" s="127"/>
    </row>
    <row r="619" spans="19:31" ht="12" customHeight="1" x14ac:dyDescent="0.2">
      <c r="U619" s="95"/>
      <c r="V619" s="95"/>
      <c r="W619" s="95"/>
      <c r="X619" s="95"/>
      <c r="Y619" s="95"/>
      <c r="Z619" s="95"/>
      <c r="AA619" s="95"/>
      <c r="AB619" s="95"/>
      <c r="AC619" s="95"/>
      <c r="AE619" s="127"/>
    </row>
    <row r="620" spans="19:31" ht="12" customHeight="1" x14ac:dyDescent="0.2">
      <c r="U620" s="95"/>
      <c r="V620" s="95"/>
      <c r="W620" s="95"/>
      <c r="X620" s="95"/>
      <c r="Y620" s="95"/>
      <c r="Z620" s="95"/>
      <c r="AA620" s="95"/>
      <c r="AB620" s="95"/>
      <c r="AC620" s="95"/>
      <c r="AE620" s="127"/>
    </row>
    <row r="621" spans="19:31" ht="12" customHeight="1" x14ac:dyDescent="0.2">
      <c r="U621" s="95"/>
      <c r="V621" s="95"/>
      <c r="W621" s="95"/>
      <c r="X621" s="95"/>
      <c r="Y621" s="95"/>
      <c r="Z621" s="95"/>
      <c r="AA621" s="95"/>
      <c r="AB621" s="95"/>
      <c r="AC621" s="95"/>
      <c r="AE621" s="127"/>
    </row>
    <row r="622" spans="19:31" ht="12" customHeight="1" x14ac:dyDescent="0.2">
      <c r="U622" s="95"/>
      <c r="V622" s="95"/>
      <c r="W622" s="95"/>
      <c r="X622" s="95"/>
      <c r="Y622" s="95"/>
      <c r="Z622" s="95"/>
      <c r="AA622" s="95"/>
      <c r="AB622" s="95"/>
      <c r="AC622" s="95"/>
      <c r="AE622" s="127"/>
    </row>
    <row r="623" spans="19:31" ht="12" customHeight="1" x14ac:dyDescent="0.2">
      <c r="U623" s="95"/>
      <c r="V623" s="95"/>
      <c r="W623" s="95"/>
      <c r="X623" s="95"/>
      <c r="Y623" s="95"/>
      <c r="Z623" s="95"/>
      <c r="AA623" s="95"/>
      <c r="AB623" s="95"/>
      <c r="AC623" s="95"/>
      <c r="AE623" s="127"/>
    </row>
    <row r="624" spans="19:31" ht="12" customHeight="1" x14ac:dyDescent="0.2">
      <c r="U624" s="95"/>
      <c r="V624" s="95"/>
      <c r="W624" s="95"/>
      <c r="X624" s="95"/>
      <c r="Y624" s="95"/>
      <c r="Z624" s="95"/>
      <c r="AA624" s="95"/>
      <c r="AB624" s="95"/>
      <c r="AC624" s="95"/>
      <c r="AE624" s="127"/>
    </row>
    <row r="625" spans="21:31" ht="12" customHeight="1" x14ac:dyDescent="0.2">
      <c r="U625" s="95"/>
      <c r="V625" s="95"/>
      <c r="W625" s="95"/>
      <c r="X625" s="95"/>
      <c r="Y625" s="95"/>
      <c r="Z625" s="95"/>
      <c r="AA625" s="95"/>
      <c r="AB625" s="95"/>
      <c r="AC625" s="95"/>
      <c r="AE625" s="127"/>
    </row>
    <row r="626" spans="21:31" ht="12" customHeight="1" x14ac:dyDescent="0.2">
      <c r="U626" s="95"/>
      <c r="V626" s="95"/>
      <c r="W626" s="95"/>
      <c r="X626" s="95"/>
      <c r="Y626" s="95"/>
      <c r="Z626" s="95"/>
      <c r="AA626" s="95"/>
      <c r="AB626" s="95"/>
      <c r="AC626" s="95"/>
      <c r="AE626" s="127"/>
    </row>
    <row r="627" spans="21:31" ht="12" customHeight="1" x14ac:dyDescent="0.2">
      <c r="U627" s="95"/>
      <c r="V627" s="95"/>
      <c r="W627" s="95"/>
      <c r="X627" s="95"/>
      <c r="Y627" s="95"/>
      <c r="Z627" s="95"/>
      <c r="AA627" s="95"/>
      <c r="AB627" s="95"/>
      <c r="AC627" s="95"/>
      <c r="AE627" s="127"/>
    </row>
    <row r="628" spans="21:31" ht="12" customHeight="1" x14ac:dyDescent="0.2">
      <c r="U628" s="95"/>
      <c r="V628" s="95"/>
      <c r="W628" s="95"/>
      <c r="X628" s="95"/>
      <c r="Y628" s="95"/>
      <c r="Z628" s="95"/>
      <c r="AA628" s="95"/>
      <c r="AB628" s="95"/>
      <c r="AC628" s="95"/>
      <c r="AE628" s="127"/>
    </row>
    <row r="629" spans="21:31" ht="12" customHeight="1" x14ac:dyDescent="0.2">
      <c r="U629" s="95"/>
      <c r="V629" s="95"/>
      <c r="W629" s="95"/>
      <c r="X629" s="95"/>
      <c r="Y629" s="95"/>
      <c r="Z629" s="95"/>
      <c r="AA629" s="95"/>
      <c r="AB629" s="95"/>
      <c r="AC629" s="95"/>
      <c r="AE629" s="127"/>
    </row>
    <row r="630" spans="21:31" ht="12" customHeight="1" x14ac:dyDescent="0.2">
      <c r="U630" s="95"/>
      <c r="V630" s="95"/>
      <c r="W630" s="95"/>
      <c r="X630" s="95"/>
      <c r="Y630" s="95"/>
      <c r="Z630" s="95"/>
      <c r="AA630" s="95"/>
      <c r="AB630" s="95"/>
      <c r="AC630" s="95"/>
      <c r="AE630" s="127"/>
    </row>
    <row r="631" spans="21:31" ht="12" customHeight="1" x14ac:dyDescent="0.2">
      <c r="U631" s="95"/>
      <c r="V631" s="95"/>
      <c r="W631" s="95"/>
      <c r="X631" s="95"/>
      <c r="Y631" s="95"/>
      <c r="Z631" s="95"/>
      <c r="AA631" s="95"/>
      <c r="AB631" s="95"/>
      <c r="AC631" s="95"/>
      <c r="AE631" s="127"/>
    </row>
    <row r="632" spans="21:31" ht="12" customHeight="1" x14ac:dyDescent="0.2">
      <c r="U632" s="95"/>
      <c r="V632" s="95"/>
      <c r="W632" s="95"/>
      <c r="X632" s="95"/>
      <c r="Y632" s="95"/>
      <c r="Z632" s="95"/>
      <c r="AA632" s="95"/>
      <c r="AB632" s="95"/>
      <c r="AC632" s="95"/>
      <c r="AE632" s="127"/>
    </row>
    <row r="633" spans="21:31" ht="12" customHeight="1" x14ac:dyDescent="0.2">
      <c r="U633" s="95"/>
      <c r="V633" s="95"/>
      <c r="W633" s="95"/>
      <c r="X633" s="95"/>
      <c r="Y633" s="95"/>
      <c r="Z633" s="95"/>
      <c r="AA633" s="95"/>
      <c r="AB633" s="95"/>
      <c r="AC633" s="95"/>
      <c r="AE633" s="127"/>
    </row>
    <row r="634" spans="21:31" ht="12" customHeight="1" x14ac:dyDescent="0.2">
      <c r="U634" s="95"/>
      <c r="V634" s="95"/>
      <c r="W634" s="95"/>
      <c r="X634" s="95"/>
      <c r="Y634" s="95"/>
      <c r="Z634" s="95"/>
      <c r="AA634" s="95"/>
      <c r="AB634" s="95"/>
      <c r="AC634" s="95"/>
      <c r="AE634" s="127"/>
    </row>
    <row r="635" spans="21:31" ht="12" customHeight="1" x14ac:dyDescent="0.2">
      <c r="U635" s="95"/>
      <c r="V635" s="95"/>
      <c r="W635" s="95"/>
      <c r="X635" s="95"/>
      <c r="Y635" s="95"/>
      <c r="Z635" s="95"/>
      <c r="AA635" s="95"/>
      <c r="AB635" s="95"/>
      <c r="AC635" s="95"/>
      <c r="AE635" s="127"/>
    </row>
    <row r="636" spans="21:31" ht="12" customHeight="1" x14ac:dyDescent="0.2">
      <c r="U636" s="95"/>
      <c r="V636" s="95"/>
      <c r="W636" s="95"/>
      <c r="X636" s="95"/>
      <c r="Y636" s="95"/>
      <c r="Z636" s="95"/>
      <c r="AA636" s="95"/>
      <c r="AB636" s="95"/>
      <c r="AC636" s="95"/>
      <c r="AE636" s="127"/>
    </row>
    <row r="637" spans="21:31" ht="12" customHeight="1" x14ac:dyDescent="0.2">
      <c r="U637" s="95"/>
      <c r="V637" s="95"/>
      <c r="W637" s="95"/>
      <c r="X637" s="95"/>
      <c r="Y637" s="95"/>
      <c r="Z637" s="95"/>
      <c r="AA637" s="95"/>
      <c r="AB637" s="95"/>
      <c r="AC637" s="95"/>
      <c r="AE637" s="127"/>
    </row>
    <row r="638" spans="21:31" ht="12" customHeight="1" x14ac:dyDescent="0.2">
      <c r="U638" s="95"/>
      <c r="V638" s="95"/>
      <c r="W638" s="95"/>
      <c r="X638" s="95"/>
      <c r="Y638" s="95"/>
      <c r="Z638" s="95"/>
      <c r="AA638" s="95"/>
      <c r="AB638" s="95"/>
      <c r="AC638" s="95"/>
      <c r="AE638" s="127"/>
    </row>
    <row r="639" spans="21:31" ht="12" customHeight="1" x14ac:dyDescent="0.2">
      <c r="U639" s="95"/>
      <c r="V639" s="95"/>
      <c r="W639" s="95"/>
      <c r="X639" s="95"/>
      <c r="Y639" s="95"/>
      <c r="Z639" s="95"/>
      <c r="AA639" s="95"/>
      <c r="AB639" s="95"/>
      <c r="AC639" s="95"/>
      <c r="AE639" s="127"/>
    </row>
    <row r="640" spans="21:31" ht="12" customHeight="1" x14ac:dyDescent="0.2">
      <c r="U640" s="95"/>
      <c r="V640" s="95"/>
      <c r="W640" s="95"/>
      <c r="X640" s="95"/>
      <c r="Y640" s="95"/>
      <c r="Z640" s="95"/>
      <c r="AA640" s="95"/>
      <c r="AB640" s="95"/>
      <c r="AC640" s="95"/>
      <c r="AE640" s="127"/>
    </row>
    <row r="641" spans="21:31" ht="12" customHeight="1" x14ac:dyDescent="0.2">
      <c r="U641" s="95"/>
      <c r="V641" s="95"/>
      <c r="W641" s="95"/>
      <c r="X641" s="95"/>
      <c r="Y641" s="95"/>
      <c r="Z641" s="95"/>
      <c r="AA641" s="95"/>
      <c r="AB641" s="95"/>
      <c r="AC641" s="95"/>
      <c r="AE641" s="127"/>
    </row>
    <row r="642" spans="21:31" ht="12" customHeight="1" x14ac:dyDescent="0.2">
      <c r="U642" s="95"/>
      <c r="V642" s="95"/>
      <c r="W642" s="95"/>
      <c r="X642" s="95"/>
      <c r="Y642" s="95"/>
      <c r="Z642" s="95"/>
      <c r="AA642" s="95"/>
      <c r="AB642" s="95"/>
      <c r="AC642" s="95"/>
      <c r="AE642" s="127"/>
    </row>
    <row r="643" spans="21:31" ht="12" customHeight="1" x14ac:dyDescent="0.2">
      <c r="U643" s="95"/>
      <c r="V643" s="95"/>
      <c r="W643" s="95"/>
      <c r="X643" s="95"/>
      <c r="Y643" s="95"/>
      <c r="Z643" s="95"/>
      <c r="AA643" s="95"/>
      <c r="AB643" s="95"/>
      <c r="AC643" s="95"/>
      <c r="AE643" s="127"/>
    </row>
    <row r="644" spans="21:31" ht="12" customHeight="1" x14ac:dyDescent="0.2">
      <c r="U644" s="95"/>
      <c r="V644" s="95"/>
      <c r="W644" s="95"/>
      <c r="X644" s="95"/>
      <c r="Y644" s="95"/>
      <c r="Z644" s="95"/>
      <c r="AA644" s="95"/>
      <c r="AB644" s="95"/>
      <c r="AC644" s="95"/>
      <c r="AE644" s="127"/>
    </row>
    <row r="645" spans="21:31" ht="12" customHeight="1" x14ac:dyDescent="0.2">
      <c r="U645" s="95"/>
      <c r="V645" s="95"/>
      <c r="W645" s="95"/>
      <c r="X645" s="95"/>
      <c r="Y645" s="95"/>
      <c r="Z645" s="95"/>
      <c r="AA645" s="95"/>
      <c r="AB645" s="95"/>
      <c r="AC645" s="95"/>
      <c r="AE645" s="127"/>
    </row>
    <row r="646" spans="21:31" ht="12" customHeight="1" x14ac:dyDescent="0.2">
      <c r="U646" s="95"/>
      <c r="V646" s="95"/>
      <c r="W646" s="95"/>
      <c r="X646" s="95"/>
      <c r="Y646" s="95"/>
      <c r="Z646" s="95"/>
      <c r="AA646" s="95"/>
      <c r="AB646" s="95"/>
      <c r="AC646" s="95"/>
      <c r="AE646" s="127"/>
    </row>
    <row r="647" spans="21:31" ht="12" customHeight="1" x14ac:dyDescent="0.2">
      <c r="U647" s="95"/>
      <c r="V647" s="95"/>
      <c r="W647" s="95"/>
      <c r="X647" s="95"/>
      <c r="Y647" s="95"/>
      <c r="Z647" s="95"/>
      <c r="AA647" s="95"/>
      <c r="AB647" s="95"/>
      <c r="AC647" s="95"/>
      <c r="AE647" s="127"/>
    </row>
    <row r="648" spans="21:31" ht="12" customHeight="1" x14ac:dyDescent="0.2">
      <c r="U648" s="95"/>
      <c r="V648" s="95"/>
      <c r="W648" s="95"/>
      <c r="X648" s="95"/>
      <c r="Y648" s="95"/>
      <c r="Z648" s="95"/>
      <c r="AA648" s="95"/>
      <c r="AB648" s="95"/>
      <c r="AC648" s="95"/>
      <c r="AE648" s="127"/>
    </row>
    <row r="649" spans="21:31" ht="12" customHeight="1" x14ac:dyDescent="0.2">
      <c r="U649" s="95"/>
      <c r="V649" s="95"/>
      <c r="W649" s="95"/>
      <c r="X649" s="95"/>
      <c r="Y649" s="95"/>
      <c r="Z649" s="95"/>
      <c r="AA649" s="95"/>
      <c r="AB649" s="95"/>
      <c r="AC649" s="95"/>
      <c r="AE649" s="127"/>
    </row>
    <row r="650" spans="21:31" ht="12" customHeight="1" x14ac:dyDescent="0.2">
      <c r="U650" s="95"/>
      <c r="V650" s="95"/>
      <c r="W650" s="95"/>
      <c r="X650" s="95"/>
      <c r="Y650" s="95"/>
      <c r="Z650" s="95"/>
      <c r="AA650" s="95"/>
      <c r="AB650" s="95"/>
      <c r="AC650" s="95"/>
      <c r="AE650" s="127"/>
    </row>
    <row r="651" spans="21:31" ht="12" customHeight="1" x14ac:dyDescent="0.2">
      <c r="U651" s="95"/>
      <c r="V651" s="95"/>
      <c r="W651" s="95"/>
      <c r="X651" s="95"/>
      <c r="Y651" s="95"/>
      <c r="Z651" s="95"/>
      <c r="AA651" s="95"/>
      <c r="AB651" s="95"/>
      <c r="AC651" s="95"/>
      <c r="AE651" s="127"/>
    </row>
    <row r="652" spans="21:31" ht="12" customHeight="1" x14ac:dyDescent="0.2">
      <c r="U652" s="95"/>
      <c r="V652" s="95"/>
      <c r="W652" s="95"/>
      <c r="X652" s="95"/>
      <c r="Y652" s="95"/>
      <c r="Z652" s="95"/>
      <c r="AA652" s="95"/>
      <c r="AB652" s="95"/>
      <c r="AC652" s="95"/>
      <c r="AE652" s="127"/>
    </row>
    <row r="653" spans="21:31" ht="12" customHeight="1" x14ac:dyDescent="0.2">
      <c r="U653" s="95"/>
      <c r="V653" s="95"/>
      <c r="W653" s="95"/>
      <c r="X653" s="95"/>
      <c r="Y653" s="95"/>
      <c r="Z653" s="95"/>
      <c r="AA653" s="95"/>
      <c r="AB653" s="95"/>
      <c r="AC653" s="95"/>
      <c r="AE653" s="127"/>
    </row>
    <row r="654" spans="21:31" ht="12" customHeight="1" x14ac:dyDescent="0.2">
      <c r="U654" s="95"/>
      <c r="V654" s="95"/>
      <c r="W654" s="95"/>
      <c r="X654" s="95"/>
      <c r="Y654" s="95"/>
      <c r="Z654" s="95"/>
      <c r="AA654" s="95"/>
      <c r="AB654" s="95"/>
      <c r="AC654" s="95"/>
      <c r="AE654" s="127"/>
    </row>
    <row r="655" spans="21:31" ht="12" customHeight="1" x14ac:dyDescent="0.2">
      <c r="U655" s="95"/>
      <c r="V655" s="95"/>
      <c r="W655" s="95"/>
      <c r="X655" s="95"/>
      <c r="Y655" s="95"/>
      <c r="Z655" s="95"/>
      <c r="AA655" s="95"/>
      <c r="AB655" s="95"/>
      <c r="AC655" s="95"/>
      <c r="AE655" s="127"/>
    </row>
    <row r="656" spans="21:31" ht="12" customHeight="1" x14ac:dyDescent="0.2">
      <c r="U656" s="95"/>
      <c r="V656" s="95"/>
      <c r="W656" s="95"/>
      <c r="X656" s="95"/>
      <c r="Y656" s="95"/>
      <c r="Z656" s="95"/>
      <c r="AA656" s="95"/>
      <c r="AB656" s="95"/>
      <c r="AC656" s="95"/>
      <c r="AE656" s="127"/>
    </row>
    <row r="657" spans="19:31" ht="12" customHeight="1" x14ac:dyDescent="0.2">
      <c r="U657" s="95"/>
      <c r="V657" s="95"/>
      <c r="W657" s="95"/>
      <c r="X657" s="95"/>
      <c r="Y657" s="95"/>
      <c r="Z657" s="95"/>
      <c r="AA657" s="95"/>
      <c r="AB657" s="95"/>
      <c r="AC657" s="95"/>
      <c r="AE657" s="127"/>
    </row>
    <row r="658" spans="19:31" ht="12" customHeight="1" x14ac:dyDescent="0.2">
      <c r="U658" s="95"/>
      <c r="V658" s="95"/>
      <c r="W658" s="95"/>
      <c r="X658" s="95"/>
      <c r="Y658" s="95"/>
      <c r="Z658" s="95"/>
      <c r="AA658" s="95"/>
      <c r="AB658" s="95"/>
      <c r="AC658" s="95"/>
      <c r="AE658" s="127"/>
    </row>
    <row r="659" spans="19:31" ht="12" customHeight="1" x14ac:dyDescent="0.2">
      <c r="U659" s="95"/>
      <c r="V659" s="95"/>
      <c r="W659" s="95"/>
      <c r="X659" s="95"/>
      <c r="Y659" s="95"/>
      <c r="Z659" s="95"/>
      <c r="AA659" s="95"/>
      <c r="AB659" s="95"/>
      <c r="AC659" s="95"/>
      <c r="AE659" s="127"/>
    </row>
    <row r="660" spans="19:31" ht="12" customHeight="1" x14ac:dyDescent="0.2">
      <c r="U660" s="95"/>
      <c r="V660" s="95"/>
      <c r="W660" s="95"/>
      <c r="X660" s="95"/>
      <c r="Y660" s="95"/>
      <c r="Z660" s="95"/>
      <c r="AA660" s="95"/>
      <c r="AB660" s="95"/>
      <c r="AC660" s="95"/>
      <c r="AE660" s="127"/>
    </row>
    <row r="661" spans="19:31" ht="12" customHeight="1" x14ac:dyDescent="0.2">
      <c r="U661" s="95"/>
      <c r="V661" s="95"/>
      <c r="W661" s="95"/>
      <c r="X661" s="95"/>
      <c r="Y661" s="95"/>
      <c r="Z661" s="95"/>
      <c r="AA661" s="95"/>
      <c r="AB661" s="95"/>
      <c r="AC661" s="95"/>
      <c r="AE661" s="127"/>
    </row>
    <row r="662" spans="19:31" ht="12" customHeight="1" x14ac:dyDescent="0.2">
      <c r="U662" s="95"/>
      <c r="V662" s="95"/>
      <c r="W662" s="95"/>
      <c r="X662" s="95"/>
      <c r="Y662" s="95"/>
      <c r="Z662" s="95"/>
      <c r="AA662" s="95"/>
      <c r="AB662" s="95"/>
      <c r="AC662" s="95"/>
      <c r="AE662" s="127"/>
    </row>
    <row r="663" spans="19:31" ht="12" customHeight="1" x14ac:dyDescent="0.2">
      <c r="U663" s="95"/>
      <c r="V663" s="95"/>
      <c r="W663" s="95"/>
      <c r="X663" s="95"/>
      <c r="Y663" s="95"/>
      <c r="Z663" s="95"/>
      <c r="AA663" s="95"/>
      <c r="AB663" s="95"/>
      <c r="AC663" s="95"/>
      <c r="AE663" s="127"/>
    </row>
    <row r="664" spans="19:31" ht="12" customHeight="1" x14ac:dyDescent="0.2">
      <c r="S664" s="113"/>
      <c r="T664" s="113"/>
      <c r="U664" s="95"/>
      <c r="V664" s="95"/>
      <c r="W664" s="95"/>
      <c r="X664" s="95"/>
      <c r="Y664" s="95"/>
      <c r="Z664" s="95"/>
      <c r="AA664" s="95"/>
      <c r="AB664" s="95"/>
      <c r="AC664" s="95"/>
      <c r="AD664" s="114"/>
      <c r="AE664" s="127"/>
    </row>
    <row r="665" spans="19:31" ht="12" customHeight="1" x14ac:dyDescent="0.2">
      <c r="U665" s="95"/>
      <c r="V665" s="95"/>
      <c r="W665" s="95"/>
      <c r="X665" s="95"/>
      <c r="Y665" s="95"/>
      <c r="Z665" s="95"/>
      <c r="AA665" s="95"/>
      <c r="AB665" s="95"/>
      <c r="AC665" s="95"/>
      <c r="AE665" s="127"/>
    </row>
    <row r="666" spans="19:31" ht="12" customHeight="1" x14ac:dyDescent="0.2">
      <c r="U666" s="95"/>
      <c r="V666" s="95"/>
      <c r="W666" s="95"/>
      <c r="X666" s="95"/>
      <c r="Y666" s="95"/>
      <c r="Z666" s="95"/>
      <c r="AA666" s="95"/>
      <c r="AB666" s="95"/>
      <c r="AC666" s="95"/>
      <c r="AE666" s="127"/>
    </row>
    <row r="667" spans="19:31" ht="12" customHeight="1" x14ac:dyDescent="0.2">
      <c r="U667" s="95"/>
      <c r="V667" s="95"/>
      <c r="W667" s="95"/>
      <c r="X667" s="95"/>
      <c r="Y667" s="95"/>
      <c r="Z667" s="95"/>
      <c r="AA667" s="95"/>
      <c r="AB667" s="95"/>
      <c r="AC667" s="95"/>
      <c r="AE667" s="127"/>
    </row>
    <row r="668" spans="19:31" ht="12" customHeight="1" x14ac:dyDescent="0.2">
      <c r="U668" s="95"/>
      <c r="V668" s="95"/>
      <c r="W668" s="95"/>
      <c r="X668" s="95"/>
      <c r="Y668" s="95"/>
      <c r="Z668" s="95"/>
      <c r="AA668" s="95"/>
      <c r="AB668" s="95"/>
      <c r="AC668" s="95"/>
      <c r="AE668" s="127"/>
    </row>
    <row r="669" spans="19:31" ht="12" customHeight="1" x14ac:dyDescent="0.2">
      <c r="U669" s="95"/>
      <c r="V669" s="95"/>
      <c r="W669" s="95"/>
      <c r="X669" s="95"/>
      <c r="Y669" s="95"/>
      <c r="Z669" s="95"/>
      <c r="AA669" s="95"/>
      <c r="AB669" s="95"/>
      <c r="AC669" s="95"/>
      <c r="AE669" s="127"/>
    </row>
    <row r="670" spans="19:31" ht="12" customHeight="1" x14ac:dyDescent="0.2">
      <c r="S670" s="113"/>
      <c r="T670" s="113"/>
      <c r="U670" s="95"/>
      <c r="V670" s="95"/>
      <c r="W670" s="95"/>
      <c r="X670" s="95"/>
      <c r="Y670" s="95"/>
      <c r="Z670" s="95"/>
      <c r="AA670" s="95"/>
      <c r="AB670" s="95"/>
      <c r="AC670" s="95"/>
      <c r="AD670" s="114"/>
      <c r="AE670" s="127"/>
    </row>
    <row r="671" spans="19:31" ht="12" customHeight="1" x14ac:dyDescent="0.2">
      <c r="U671" s="95"/>
      <c r="V671" s="95"/>
      <c r="W671" s="95"/>
      <c r="X671" s="95"/>
      <c r="Y671" s="95"/>
      <c r="Z671" s="95"/>
      <c r="AA671" s="95"/>
      <c r="AB671" s="95"/>
      <c r="AC671" s="95"/>
      <c r="AE671" s="127"/>
    </row>
    <row r="672" spans="19:31" ht="12" customHeight="1" x14ac:dyDescent="0.2">
      <c r="U672" s="95"/>
      <c r="V672" s="95"/>
      <c r="W672" s="95"/>
      <c r="X672" s="95"/>
      <c r="Y672" s="95"/>
      <c r="Z672" s="95"/>
      <c r="AA672" s="95"/>
      <c r="AB672" s="95"/>
      <c r="AC672" s="95"/>
      <c r="AE672" s="127"/>
    </row>
    <row r="673" spans="21:31" ht="12" customHeight="1" x14ac:dyDescent="0.2">
      <c r="U673" s="95"/>
      <c r="V673" s="95"/>
      <c r="W673" s="95"/>
      <c r="X673" s="95"/>
      <c r="Y673" s="95"/>
      <c r="Z673" s="95"/>
      <c r="AA673" s="95"/>
      <c r="AB673" s="95"/>
      <c r="AC673" s="95"/>
      <c r="AE673" s="127"/>
    </row>
    <row r="674" spans="21:31" ht="12" customHeight="1" x14ac:dyDescent="0.2">
      <c r="U674" s="95"/>
      <c r="V674" s="95"/>
      <c r="W674" s="95"/>
      <c r="X674" s="95"/>
      <c r="Y674" s="95"/>
      <c r="Z674" s="95"/>
      <c r="AA674" s="95"/>
      <c r="AB674" s="95"/>
      <c r="AC674" s="95"/>
      <c r="AE674" s="127"/>
    </row>
    <row r="675" spans="21:31" ht="12" customHeight="1" x14ac:dyDescent="0.2">
      <c r="U675" s="95"/>
      <c r="V675" s="95"/>
      <c r="W675" s="95"/>
      <c r="X675" s="95"/>
      <c r="Y675" s="95"/>
      <c r="Z675" s="95"/>
      <c r="AA675" s="95"/>
      <c r="AB675" s="95"/>
      <c r="AC675" s="95"/>
      <c r="AE675" s="127"/>
    </row>
    <row r="676" spans="21:31" ht="12" customHeight="1" x14ac:dyDescent="0.2">
      <c r="U676" s="95"/>
      <c r="V676" s="95"/>
      <c r="W676" s="95"/>
      <c r="X676" s="95"/>
      <c r="Y676" s="95"/>
      <c r="Z676" s="95"/>
      <c r="AA676" s="95"/>
      <c r="AB676" s="95"/>
      <c r="AC676" s="95"/>
      <c r="AE676" s="127"/>
    </row>
    <row r="677" spans="21:31" ht="12" customHeight="1" x14ac:dyDescent="0.2">
      <c r="U677" s="95"/>
      <c r="V677" s="95"/>
      <c r="W677" s="95"/>
      <c r="X677" s="95"/>
      <c r="Y677" s="95"/>
      <c r="Z677" s="95"/>
      <c r="AA677" s="95"/>
      <c r="AB677" s="95"/>
      <c r="AC677" s="95"/>
      <c r="AE677" s="127"/>
    </row>
    <row r="678" spans="21:31" ht="12" customHeight="1" x14ac:dyDescent="0.2">
      <c r="U678" s="95"/>
      <c r="V678" s="95"/>
      <c r="W678" s="95"/>
      <c r="X678" s="95"/>
      <c r="Y678" s="95"/>
      <c r="Z678" s="95"/>
      <c r="AA678" s="95"/>
      <c r="AB678" s="95"/>
      <c r="AC678" s="95"/>
      <c r="AE678" s="127"/>
    </row>
    <row r="679" spans="21:31" ht="12" customHeight="1" x14ac:dyDescent="0.2">
      <c r="U679" s="95"/>
      <c r="V679" s="95"/>
      <c r="W679" s="95"/>
      <c r="X679" s="95"/>
      <c r="Y679" s="95"/>
      <c r="Z679" s="95"/>
      <c r="AA679" s="95"/>
      <c r="AB679" s="95"/>
      <c r="AC679" s="95"/>
      <c r="AE679" s="127"/>
    </row>
    <row r="680" spans="21:31" ht="12" customHeight="1" x14ac:dyDescent="0.2">
      <c r="U680" s="95"/>
      <c r="V680" s="95"/>
      <c r="W680" s="95"/>
      <c r="X680" s="95"/>
      <c r="Y680" s="95"/>
      <c r="Z680" s="95"/>
      <c r="AA680" s="95"/>
      <c r="AB680" s="95"/>
      <c r="AC680" s="95"/>
      <c r="AE680" s="127"/>
    </row>
    <row r="681" spans="21:31" ht="12" customHeight="1" x14ac:dyDescent="0.2">
      <c r="U681" s="95"/>
      <c r="V681" s="95"/>
      <c r="W681" s="95"/>
      <c r="X681" s="95"/>
      <c r="Y681" s="95"/>
      <c r="Z681" s="95"/>
      <c r="AA681" s="95"/>
      <c r="AB681" s="95"/>
      <c r="AC681" s="95"/>
      <c r="AE681" s="127"/>
    </row>
    <row r="682" spans="21:31" ht="12" customHeight="1" x14ac:dyDescent="0.2">
      <c r="U682" s="95"/>
      <c r="V682" s="95"/>
      <c r="W682" s="95"/>
      <c r="X682" s="95"/>
      <c r="Y682" s="95"/>
      <c r="Z682" s="95"/>
      <c r="AA682" s="95"/>
      <c r="AB682" s="95"/>
      <c r="AC682" s="95"/>
      <c r="AE682" s="127"/>
    </row>
    <row r="683" spans="21:31" ht="12" customHeight="1" x14ac:dyDescent="0.2">
      <c r="U683" s="95"/>
      <c r="V683" s="95"/>
      <c r="W683" s="95"/>
      <c r="X683" s="95"/>
      <c r="Y683" s="95"/>
      <c r="Z683" s="95"/>
      <c r="AA683" s="95"/>
      <c r="AB683" s="95"/>
      <c r="AC683" s="95"/>
      <c r="AE683" s="127"/>
    </row>
    <row r="684" spans="21:31" ht="12" customHeight="1" x14ac:dyDescent="0.2">
      <c r="U684" s="95"/>
      <c r="V684" s="95"/>
      <c r="W684" s="95"/>
      <c r="X684" s="95"/>
      <c r="Y684" s="95"/>
      <c r="Z684" s="95"/>
      <c r="AA684" s="95"/>
      <c r="AB684" s="95"/>
      <c r="AC684" s="95"/>
      <c r="AE684" s="127"/>
    </row>
    <row r="685" spans="21:31" ht="12" customHeight="1" x14ac:dyDescent="0.2">
      <c r="U685" s="95"/>
      <c r="V685" s="95"/>
      <c r="W685" s="95"/>
      <c r="X685" s="95"/>
      <c r="Y685" s="95"/>
      <c r="Z685" s="95"/>
      <c r="AA685" s="95"/>
      <c r="AB685" s="95"/>
      <c r="AC685" s="95"/>
      <c r="AE685" s="127"/>
    </row>
    <row r="686" spans="21:31" ht="12" customHeight="1" x14ac:dyDescent="0.2">
      <c r="U686" s="95"/>
      <c r="V686" s="95"/>
      <c r="W686" s="95"/>
      <c r="X686" s="95"/>
      <c r="Y686" s="95"/>
      <c r="Z686" s="95"/>
      <c r="AA686" s="95"/>
      <c r="AB686" s="95"/>
      <c r="AC686" s="95"/>
      <c r="AE686" s="127"/>
    </row>
    <row r="687" spans="21:31" ht="12" customHeight="1" x14ac:dyDescent="0.2">
      <c r="U687" s="95"/>
      <c r="V687" s="95"/>
      <c r="W687" s="95"/>
      <c r="X687" s="95"/>
      <c r="Y687" s="95"/>
      <c r="Z687" s="95"/>
      <c r="AA687" s="95"/>
      <c r="AB687" s="95"/>
      <c r="AC687" s="95"/>
      <c r="AE687" s="127"/>
    </row>
    <row r="688" spans="21:31" ht="12" customHeight="1" x14ac:dyDescent="0.2">
      <c r="U688" s="95"/>
      <c r="V688" s="95"/>
      <c r="W688" s="95"/>
      <c r="X688" s="95"/>
      <c r="Y688" s="95"/>
      <c r="Z688" s="95"/>
      <c r="AA688" s="95"/>
      <c r="AB688" s="95"/>
      <c r="AC688" s="95"/>
      <c r="AE688" s="127"/>
    </row>
    <row r="689" spans="19:31" ht="12" customHeight="1" x14ac:dyDescent="0.2">
      <c r="U689" s="95"/>
      <c r="V689" s="95"/>
      <c r="W689" s="95"/>
      <c r="X689" s="95"/>
      <c r="Y689" s="95"/>
      <c r="Z689" s="95"/>
      <c r="AA689" s="95"/>
      <c r="AB689" s="95"/>
      <c r="AC689" s="95"/>
      <c r="AE689" s="127"/>
    </row>
    <row r="690" spans="19:31" ht="12" customHeight="1" x14ac:dyDescent="0.2">
      <c r="U690" s="95"/>
      <c r="V690" s="95"/>
      <c r="W690" s="95"/>
      <c r="X690" s="95"/>
      <c r="Y690" s="95"/>
      <c r="Z690" s="95"/>
      <c r="AA690" s="95"/>
      <c r="AB690" s="95"/>
      <c r="AC690" s="95"/>
      <c r="AE690" s="127"/>
    </row>
    <row r="691" spans="19:31" ht="12" customHeight="1" x14ac:dyDescent="0.2">
      <c r="U691" s="95"/>
      <c r="V691" s="95"/>
      <c r="W691" s="95"/>
      <c r="X691" s="95"/>
      <c r="Y691" s="95"/>
      <c r="Z691" s="95"/>
      <c r="AA691" s="95"/>
      <c r="AB691" s="95"/>
      <c r="AC691" s="95"/>
      <c r="AE691" s="127"/>
    </row>
    <row r="692" spans="19:31" ht="12" customHeight="1" x14ac:dyDescent="0.2">
      <c r="U692" s="95"/>
      <c r="V692" s="95"/>
      <c r="W692" s="95"/>
      <c r="X692" s="95"/>
      <c r="Y692" s="95"/>
      <c r="Z692" s="95"/>
      <c r="AA692" s="95"/>
      <c r="AB692" s="95"/>
      <c r="AC692" s="95"/>
      <c r="AE692" s="127"/>
    </row>
    <row r="693" spans="19:31" ht="12" customHeight="1" x14ac:dyDescent="0.2">
      <c r="U693" s="95"/>
      <c r="V693" s="95"/>
      <c r="W693" s="95"/>
      <c r="X693" s="95"/>
      <c r="Y693" s="95"/>
      <c r="Z693" s="95"/>
      <c r="AA693" s="95"/>
      <c r="AB693" s="95"/>
      <c r="AC693" s="95"/>
      <c r="AE693" s="127"/>
    </row>
    <row r="694" spans="19:31" ht="12" customHeight="1" x14ac:dyDescent="0.2">
      <c r="U694" s="95"/>
      <c r="V694" s="95"/>
      <c r="W694" s="95"/>
      <c r="X694" s="95"/>
      <c r="Y694" s="95"/>
      <c r="Z694" s="95"/>
      <c r="AA694" s="95"/>
      <c r="AB694" s="95"/>
      <c r="AC694" s="95"/>
      <c r="AE694" s="127"/>
    </row>
    <row r="695" spans="19:31" ht="12" customHeight="1" x14ac:dyDescent="0.2">
      <c r="U695" s="95"/>
      <c r="V695" s="95"/>
      <c r="W695" s="95"/>
      <c r="X695" s="95"/>
      <c r="Y695" s="95"/>
      <c r="Z695" s="95"/>
      <c r="AA695" s="95"/>
      <c r="AB695" s="95"/>
      <c r="AC695" s="95"/>
      <c r="AE695" s="127"/>
    </row>
    <row r="696" spans="19:31" ht="12" customHeight="1" x14ac:dyDescent="0.2">
      <c r="U696" s="95"/>
      <c r="V696" s="95"/>
      <c r="W696" s="95"/>
      <c r="X696" s="95"/>
      <c r="Y696" s="95"/>
      <c r="Z696" s="95"/>
      <c r="AA696" s="95"/>
      <c r="AB696" s="95"/>
      <c r="AC696" s="95"/>
      <c r="AE696" s="127"/>
    </row>
    <row r="697" spans="19:31" ht="12" customHeight="1" x14ac:dyDescent="0.2">
      <c r="U697" s="95"/>
      <c r="V697" s="95"/>
      <c r="W697" s="95"/>
      <c r="X697" s="95"/>
      <c r="Y697" s="95"/>
      <c r="Z697" s="95"/>
      <c r="AA697" s="95"/>
      <c r="AB697" s="95"/>
      <c r="AC697" s="95"/>
      <c r="AE697" s="127"/>
    </row>
    <row r="698" spans="19:31" ht="12" customHeight="1" x14ac:dyDescent="0.2">
      <c r="U698" s="95"/>
      <c r="V698" s="95"/>
      <c r="W698" s="95"/>
      <c r="X698" s="95"/>
      <c r="Y698" s="95"/>
      <c r="Z698" s="95"/>
      <c r="AA698" s="95"/>
      <c r="AB698" s="95"/>
      <c r="AC698" s="95"/>
      <c r="AE698" s="127"/>
    </row>
    <row r="699" spans="19:31" ht="12" customHeight="1" x14ac:dyDescent="0.2">
      <c r="U699" s="95"/>
      <c r="V699" s="95"/>
      <c r="W699" s="95"/>
      <c r="X699" s="95"/>
      <c r="Y699" s="95"/>
      <c r="Z699" s="95"/>
      <c r="AA699" s="95"/>
      <c r="AB699" s="95"/>
      <c r="AC699" s="95"/>
      <c r="AE699" s="127"/>
    </row>
    <row r="700" spans="19:31" ht="12" customHeight="1" x14ac:dyDescent="0.2">
      <c r="U700" s="95"/>
      <c r="V700" s="95"/>
      <c r="W700" s="95"/>
      <c r="X700" s="95"/>
      <c r="Y700" s="95"/>
      <c r="Z700" s="95"/>
      <c r="AA700" s="95"/>
      <c r="AB700" s="95"/>
      <c r="AC700" s="95"/>
      <c r="AE700" s="127"/>
    </row>
    <row r="701" spans="19:31" ht="12" customHeight="1" x14ac:dyDescent="0.2">
      <c r="U701" s="95"/>
      <c r="V701" s="95"/>
      <c r="W701" s="95"/>
      <c r="X701" s="95"/>
      <c r="Y701" s="95"/>
      <c r="Z701" s="95"/>
      <c r="AA701" s="95"/>
      <c r="AB701" s="95"/>
      <c r="AC701" s="95"/>
      <c r="AE701" s="127"/>
    </row>
    <row r="702" spans="19:31" ht="12" customHeight="1" x14ac:dyDescent="0.2">
      <c r="U702" s="95"/>
      <c r="V702" s="95"/>
      <c r="W702" s="95"/>
      <c r="X702" s="95"/>
      <c r="Y702" s="95"/>
      <c r="Z702" s="95"/>
      <c r="AA702" s="95"/>
      <c r="AB702" s="95"/>
      <c r="AC702" s="95"/>
      <c r="AE702" s="127"/>
    </row>
    <row r="703" spans="19:31" ht="12" customHeight="1" x14ac:dyDescent="0.2">
      <c r="S703" s="115"/>
      <c r="T703" s="115"/>
      <c r="U703" s="94"/>
      <c r="V703" s="95"/>
      <c r="W703" s="95"/>
      <c r="X703" s="95"/>
      <c r="Y703" s="95"/>
      <c r="Z703" s="95"/>
      <c r="AA703" s="95"/>
      <c r="AB703" s="95"/>
      <c r="AC703" s="94"/>
      <c r="AD703" s="116"/>
      <c r="AE703" s="97"/>
    </row>
    <row r="704" spans="19:31" ht="12" customHeight="1" x14ac:dyDescent="0.2"/>
    <row r="705" spans="19:19" ht="12" customHeight="1" x14ac:dyDescent="0.2">
      <c r="S705" s="117"/>
    </row>
    <row r="706" spans="19:19" ht="12" customHeight="1" x14ac:dyDescent="0.2">
      <c r="S706" s="117"/>
    </row>
    <row r="707" spans="19:19" ht="12" customHeight="1" x14ac:dyDescent="0.2"/>
    <row r="708" spans="19:19" ht="12" customHeight="1" x14ac:dyDescent="0.2"/>
    <row r="709" spans="19:19" ht="12" customHeight="1" x14ac:dyDescent="0.2"/>
    <row r="710" spans="19:19" ht="12" customHeight="1" x14ac:dyDescent="0.2"/>
    <row r="711" spans="19:19" ht="12" customHeight="1" x14ac:dyDescent="0.2"/>
    <row r="712" spans="19:19" ht="12" customHeight="1" x14ac:dyDescent="0.2"/>
    <row r="713" spans="19:19" ht="12" customHeight="1" x14ac:dyDescent="0.2"/>
    <row r="714" spans="19:19" ht="12" customHeight="1" x14ac:dyDescent="0.2"/>
    <row r="715" spans="19:19" ht="12" customHeight="1" x14ac:dyDescent="0.2"/>
    <row r="716" spans="19:19" ht="12" customHeight="1" x14ac:dyDescent="0.2"/>
    <row r="717" spans="19:19" ht="12" customHeight="1" x14ac:dyDescent="0.2"/>
    <row r="718" spans="19:19" ht="12" customHeight="1" x14ac:dyDescent="0.2"/>
    <row r="719" spans="19:19" ht="12" customHeight="1" x14ac:dyDescent="0.2"/>
    <row r="720" spans="19:19"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sheetData>
  <mergeCells count="124">
    <mergeCell ref="AD10:AD11"/>
    <mergeCell ref="AE10:AE11"/>
    <mergeCell ref="O11:Q11"/>
    <mergeCell ref="A12:C12"/>
    <mergeCell ref="D12:G12"/>
    <mergeCell ref="O12:Q12"/>
    <mergeCell ref="A1:O2"/>
    <mergeCell ref="P1:Q1"/>
    <mergeCell ref="P2:Q2"/>
    <mergeCell ref="A3:Q3"/>
    <mergeCell ref="A5:A10"/>
    <mergeCell ref="B5:E5"/>
    <mergeCell ref="F5:F10"/>
    <mergeCell ref="G5:N5"/>
    <mergeCell ref="O5:Q5"/>
    <mergeCell ref="B6:E6"/>
    <mergeCell ref="G6:N6"/>
    <mergeCell ref="O6:Q6"/>
    <mergeCell ref="B7:E7"/>
    <mergeCell ref="G7:N7"/>
    <mergeCell ref="O7:Q7"/>
    <mergeCell ref="B8:E8"/>
    <mergeCell ref="G8:N8"/>
    <mergeCell ref="O8:Q8"/>
    <mergeCell ref="C18:E18"/>
    <mergeCell ref="F18:G18"/>
    <mergeCell ref="B9:E9"/>
    <mergeCell ref="G9:N9"/>
    <mergeCell ref="P9:Q9"/>
    <mergeCell ref="B10:E10"/>
    <mergeCell ref="G10:N10"/>
    <mergeCell ref="P10:Q10"/>
    <mergeCell ref="AC10:AC11"/>
    <mergeCell ref="A13:C14"/>
    <mergeCell ref="D13:G14"/>
    <mergeCell ref="O13:Q13"/>
    <mergeCell ref="O14:Q14"/>
    <mergeCell ref="C15:E15"/>
    <mergeCell ref="F15:G15"/>
    <mergeCell ref="C16:E16"/>
    <mergeCell ref="F16:G16"/>
    <mergeCell ref="C17:E17"/>
    <mergeCell ref="F17:G17"/>
    <mergeCell ref="C30:E30"/>
    <mergeCell ref="F30:G30"/>
    <mergeCell ref="C19:E19"/>
    <mergeCell ref="F19:G19"/>
    <mergeCell ref="C20:E20"/>
    <mergeCell ref="F20:G20"/>
    <mergeCell ref="C21:E21"/>
    <mergeCell ref="F21:G21"/>
    <mergeCell ref="C22:E22"/>
    <mergeCell ref="F22:G22"/>
    <mergeCell ref="C23:E23"/>
    <mergeCell ref="F23:G23"/>
    <mergeCell ref="C24:E24"/>
    <mergeCell ref="F24:G24"/>
    <mergeCell ref="C25:E25"/>
    <mergeCell ref="F25:G25"/>
    <mergeCell ref="C26:E26"/>
    <mergeCell ref="F26:G26"/>
    <mergeCell ref="C27:E27"/>
    <mergeCell ref="F27:G27"/>
    <mergeCell ref="C28:E28"/>
    <mergeCell ref="F28:G28"/>
    <mergeCell ref="C29:E29"/>
    <mergeCell ref="F29:G29"/>
    <mergeCell ref="C42:E42"/>
    <mergeCell ref="F42:G42"/>
    <mergeCell ref="C31:E31"/>
    <mergeCell ref="F31:G31"/>
    <mergeCell ref="C32:E32"/>
    <mergeCell ref="F32:G32"/>
    <mergeCell ref="C33:E33"/>
    <mergeCell ref="F33:G33"/>
    <mergeCell ref="C34:E34"/>
    <mergeCell ref="F34:G34"/>
    <mergeCell ref="C35:E35"/>
    <mergeCell ref="F35:G35"/>
    <mergeCell ref="C36:E36"/>
    <mergeCell ref="F36:G36"/>
    <mergeCell ref="C37:E37"/>
    <mergeCell ref="F37:G37"/>
    <mergeCell ref="C38:E38"/>
    <mergeCell ref="F38:G38"/>
    <mergeCell ref="C39:E39"/>
    <mergeCell ref="F39:G39"/>
    <mergeCell ref="C40:E40"/>
    <mergeCell ref="F40:G40"/>
    <mergeCell ref="C41:E41"/>
    <mergeCell ref="F41:G41"/>
    <mergeCell ref="C54:E54"/>
    <mergeCell ref="F54:G54"/>
    <mergeCell ref="C43:E43"/>
    <mergeCell ref="F43:G43"/>
    <mergeCell ref="C44:E44"/>
    <mergeCell ref="F44:G44"/>
    <mergeCell ref="C45:E45"/>
    <mergeCell ref="F45:G45"/>
    <mergeCell ref="C46:E46"/>
    <mergeCell ref="F46:G46"/>
    <mergeCell ref="C47:E47"/>
    <mergeCell ref="F47:G47"/>
    <mergeCell ref="C48:E48"/>
    <mergeCell ref="F48:G48"/>
    <mergeCell ref="C49:E49"/>
    <mergeCell ref="F49:G49"/>
    <mergeCell ref="C50:E50"/>
    <mergeCell ref="F50:G50"/>
    <mergeCell ref="C51:E51"/>
    <mergeCell ref="F51:G51"/>
    <mergeCell ref="C52:E52"/>
    <mergeCell ref="F52:G52"/>
    <mergeCell ref="C53:E53"/>
    <mergeCell ref="F53:G53"/>
    <mergeCell ref="O58:P58"/>
    <mergeCell ref="O59:Q64"/>
    <mergeCell ref="A61:J64"/>
    <mergeCell ref="C55:E55"/>
    <mergeCell ref="F55:G55"/>
    <mergeCell ref="C56:E56"/>
    <mergeCell ref="F56:G56"/>
    <mergeCell ref="L56:N56"/>
    <mergeCell ref="A57:J60"/>
  </mergeCells>
  <phoneticPr fontId="28" type="noConversion"/>
  <hyperlinks>
    <hyperlink ref="B9" r:id="rId1"/>
  </hyperlinks>
  <pageMargins left="0.25" right="0.25" top="0.25" bottom="0.25" header="0.3" footer="0.3"/>
  <drawing r:id="rId2"/>
  <extLst>
    <ext xmlns:mx="http://schemas.microsoft.com/office/mac/excel/2008/main" uri="http://schemas.microsoft.com/office/mac/excel/2008/main">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ublished="0" enableFormatConditionsCalculation="0"/>
  <dimension ref="A1"/>
  <sheetViews>
    <sheetView workbookViewId="0"/>
  </sheetViews>
  <sheetFormatPr defaultColWidth="8.85546875" defaultRowHeight="15" x14ac:dyDescent="0.25"/>
  <sheetData/>
  <pageMargins left="0.7" right="0.7" top="0.75" bottom="0.75" header="0.3" footer="0.3"/>
  <extLst>
    <ext xmlns:mx="http://schemas.microsoft.com/office/mac/excel/2008/main" uri="http://schemas.microsoft.com/office/mac/excel/2008/main">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Etay</dc:creator>
  <cp:lastModifiedBy>Xabran</cp:lastModifiedBy>
  <dcterms:created xsi:type="dcterms:W3CDTF">2012-03-18T02:11:34Z</dcterms:created>
  <dcterms:modified xsi:type="dcterms:W3CDTF">2012-07-11T01:00:15Z</dcterms:modified>
</cp:coreProperties>
</file>