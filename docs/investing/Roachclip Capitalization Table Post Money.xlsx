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05" windowWidth="11295" windowHeight="4815"/>
  </bookViews>
  <sheets>
    <sheet name="Capitalization Log" sheetId="1" r:id="rId1"/>
  </sheets>
  <definedNames>
    <definedName name="_xlnm.Print_Area" localSheetId="0">'Capitalization Log'!$A$1:$AJ$19</definedName>
  </definedNames>
  <calcPr calcId="144525"/>
</workbook>
</file>

<file path=xl/calcChain.xml><?xml version="1.0" encoding="utf-8"?>
<calcChain xmlns="http://schemas.openxmlformats.org/spreadsheetml/2006/main">
  <c r="D3" i="1" l="1"/>
  <c r="C5" i="1"/>
  <c r="C7" i="1"/>
  <c r="C9" i="1"/>
  <c r="C11" i="1"/>
  <c r="B17" i="1"/>
  <c r="C3" i="1" s="1"/>
  <c r="D17" i="1"/>
  <c r="E4" i="1" s="1"/>
  <c r="F17" i="1"/>
  <c r="E17" i="1" l="1"/>
  <c r="E9" i="1"/>
  <c r="E11" i="1"/>
  <c r="E7" i="1"/>
  <c r="E5" i="1"/>
  <c r="E3" i="1"/>
  <c r="C10" i="1"/>
  <c r="C8" i="1"/>
  <c r="C6" i="1"/>
  <c r="C4" i="1"/>
  <c r="C17" i="1" s="1"/>
  <c r="E10" i="1"/>
  <c r="E8" i="1"/>
  <c r="E6" i="1"/>
  <c r="H11" i="1"/>
  <c r="H13" i="1"/>
  <c r="H14" i="1"/>
  <c r="H12" i="1"/>
  <c r="H10" i="1"/>
  <c r="I17" i="1"/>
  <c r="G3" i="1" l="1"/>
  <c r="G17" i="1" s="1"/>
  <c r="H17" i="1" s="1"/>
  <c r="L17" i="1"/>
  <c r="R17" i="1"/>
  <c r="O17" i="1"/>
  <c r="H9" i="1" l="1"/>
  <c r="H7" i="1"/>
  <c r="H5" i="1"/>
  <c r="H6" i="1"/>
  <c r="H4" i="1"/>
  <c r="H8" i="1"/>
  <c r="H3" i="1"/>
  <c r="N17" i="1" l="1"/>
  <c r="K17" i="1"/>
  <c r="Q17" i="1" l="1"/>
</calcChain>
</file>

<file path=xl/sharedStrings.xml><?xml version="1.0" encoding="utf-8"?>
<sst xmlns="http://schemas.openxmlformats.org/spreadsheetml/2006/main" count="46" uniqueCount="31">
  <si>
    <t>Colin</t>
  </si>
  <si>
    <t>Matt</t>
  </si>
  <si>
    <t>Alex</t>
  </si>
  <si>
    <t>Total</t>
  </si>
  <si>
    <t>Units</t>
  </si>
  <si>
    <t>%</t>
  </si>
  <si>
    <t>Cash In</t>
  </si>
  <si>
    <t>VESTING</t>
  </si>
  <si>
    <t>Vitaliy Levit</t>
  </si>
  <si>
    <t>Alex Miller</t>
  </si>
  <si>
    <t>Chris Daigle</t>
  </si>
  <si>
    <t>Jeff Lamb</t>
  </si>
  <si>
    <t>Update above units only with "vested" units</t>
  </si>
  <si>
    <t>.</t>
  </si>
  <si>
    <t>Matt Leitz</t>
  </si>
  <si>
    <t>Derek Zimmermann</t>
  </si>
  <si>
    <t>Angela Povse</t>
  </si>
  <si>
    <t>Andrew Mayfield</t>
  </si>
  <si>
    <t>Danielle Zimmermann</t>
  </si>
  <si>
    <t>Becka Melisi</t>
  </si>
  <si>
    <t>Unit Holder</t>
  </si>
  <si>
    <t>Danny Nareau</t>
  </si>
  <si>
    <t>Valuation=$700,000</t>
  </si>
  <si>
    <t xml:space="preserve">Marsha </t>
  </si>
  <si>
    <t>Mark Nareau</t>
  </si>
  <si>
    <t>Mike Ceyatano</t>
  </si>
  <si>
    <t>Josh McCann</t>
  </si>
  <si>
    <t>Ron and Mary Brown</t>
  </si>
  <si>
    <t>Valuation=$715,000 (Unit Price = $1.34)</t>
  </si>
  <si>
    <t>Valuation=$750,000 (Unit Price = $1.38)</t>
  </si>
  <si>
    <t>Hypothetical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</si>
</sst>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6" formatCode="&quot;$&quot;#,##0_);[Red]\(&quot;$&quot;#,##0\)"/>
    <numFmt numFmtId="42" formatCode="_(&quot;$&quot;* #,##0_);_(&quot;$&quot;* \(#,##0\);_(&quot;$&quot;* &quot;-&quot;_);_(@_)"/>
    <numFmt numFmtId="43" formatCode="_(* #,##0.00_);_(* \(#,##0.00\);_(* &quot;-&quot;??_);_(@_)"/>
    <numFmt numFmtId="164" formatCode="0.0%"/>
    <numFmt numFmtId="165" formatCode="m/d/yy;@"/>
    <numFmt numFmtId="166" formatCode="0.0000%"/>
    <numFmt numFmtId="167" formatCode="_(&quot;$&quot;* #,##0.00000_);_(&quot;$&quot;* \(#,##0.00000\);_(&quot;$&quot;* &quot;-&quot;_);_(@_)"/>
    <numFmt numFmtId="168" formatCode="_(&quot;$&quot;* #,##0.000000_);_(&quot;$&quot;* \(#,##0.000000\);_(&quot;$&quot;* &quot;-&quot;_);_(@_)"/>
    <numFmt numFmtId="169" formatCode="_(&quot;$&quot;* #,##0.0000000_);_(&quot;$&quot;* \(#,##0.0000000\);_(&quot;$&quot;* &quot;-&quot;_);_(@_)"/>
    <numFmt numFmtId="170" formatCode="_(* #,##0.0_);_(* \(#,##0.0\);_(* &quot;-&quot;?_);_(@_)"/>
  </numFmts>
  <fonts count="14" x14ac:knownFonts="1">
    <font>
      <sz val="11"/>
      <color theme="1"/>
      <name val="Calibri"/>
      <family val="2"/>
      <scheme val="minor"/>
    </font>
    <font>
      <sz val="12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9"/>
      <name val="Calibri"/>
      <family val="2"/>
    </font>
    <font>
      <sz val="8"/>
      <name val="Calibri"/>
      <family val="2"/>
    </font>
    <font>
      <b/>
      <i/>
      <sz val="12"/>
      <color indexed="8"/>
      <name val="Calibri"/>
      <family val="2"/>
    </font>
    <font>
      <b/>
      <sz val="11"/>
      <color indexed="12"/>
      <name val="Calibri"/>
      <family val="2"/>
    </font>
    <font>
      <b/>
      <sz val="11"/>
      <color indexed="8"/>
      <name val="Calibri"/>
    </font>
    <font>
      <sz val="11"/>
      <color theme="1"/>
      <name val="Calibri"/>
      <family val="2"/>
      <scheme val="minor"/>
    </font>
    <font>
      <i/>
      <sz val="12"/>
      <color indexed="8"/>
      <name val="Calibri"/>
      <family val="2"/>
    </font>
    <font>
      <i/>
      <sz val="11"/>
      <color theme="1"/>
      <name val="Calibri"/>
      <family val="2"/>
      <scheme val="minor"/>
    </font>
    <font>
      <i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12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7">
    <xf numFmtId="0" fontId="0" fillId="0" borderId="0" xfId="0"/>
    <xf numFmtId="1" fontId="0" fillId="0" borderId="0" xfId="0" applyNumberFormat="1"/>
    <xf numFmtId="164" fontId="0" fillId="0" borderId="0" xfId="0" applyNumberFormat="1"/>
    <xf numFmtId="165" fontId="3" fillId="2" borderId="0" xfId="0" applyNumberFormat="1" applyFont="1" applyFill="1"/>
    <xf numFmtId="165" fontId="3" fillId="2" borderId="1" xfId="0" applyNumberFormat="1" applyFont="1" applyFill="1" applyBorder="1"/>
    <xf numFmtId="1" fontId="1" fillId="0" borderId="2" xfId="0" applyNumberFormat="1" applyFont="1" applyBorder="1"/>
    <xf numFmtId="42" fontId="1" fillId="0" borderId="3" xfId="0" applyNumberFormat="1" applyFont="1" applyBorder="1"/>
    <xf numFmtId="42" fontId="0" fillId="0" borderId="0" xfId="0" applyNumberFormat="1"/>
    <xf numFmtId="42" fontId="0" fillId="0" borderId="3" xfId="0" applyNumberFormat="1" applyBorder="1"/>
    <xf numFmtId="164" fontId="1" fillId="3" borderId="4" xfId="0" applyNumberFormat="1" applyFont="1" applyFill="1" applyBorder="1" applyAlignment="1">
      <alignment horizontal="center"/>
    </xf>
    <xf numFmtId="42" fontId="1" fillId="3" borderId="4" xfId="0" applyNumberFormat="1" applyFont="1" applyFill="1" applyBorder="1" applyAlignment="1">
      <alignment horizontal="center"/>
    </xf>
    <xf numFmtId="1" fontId="0" fillId="0" borderId="4" xfId="0" applyNumberFormat="1" applyFont="1" applyBorder="1" applyAlignment="1">
      <alignment horizontal="center"/>
    </xf>
    <xf numFmtId="166" fontId="8" fillId="0" borderId="0" xfId="1" applyNumberFormat="1" applyFont="1"/>
    <xf numFmtId="1" fontId="1" fillId="0" borderId="2" xfId="0" applyNumberFormat="1" applyFont="1" applyFill="1" applyBorder="1"/>
    <xf numFmtId="42" fontId="1" fillId="0" borderId="3" xfId="0" applyNumberFormat="1" applyFont="1" applyFill="1" applyBorder="1"/>
    <xf numFmtId="42" fontId="0" fillId="0" borderId="3" xfId="0" applyNumberFormat="1" applyFill="1" applyBorder="1"/>
    <xf numFmtId="1" fontId="0" fillId="0" borderId="0" xfId="0" applyNumberFormat="1" applyFill="1"/>
    <xf numFmtId="43" fontId="1" fillId="0" borderId="2" xfId="0" applyNumberFormat="1" applyFont="1" applyFill="1" applyBorder="1"/>
    <xf numFmtId="43" fontId="1" fillId="0" borderId="2" xfId="0" applyNumberFormat="1" applyFont="1" applyBorder="1"/>
    <xf numFmtId="43" fontId="1" fillId="0" borderId="0" xfId="0" applyNumberFormat="1" applyFont="1" applyBorder="1"/>
    <xf numFmtId="43" fontId="1" fillId="3" borderId="4" xfId="0" applyNumberFormat="1" applyFont="1" applyFill="1" applyBorder="1" applyAlignment="1">
      <alignment horizontal="center"/>
    </xf>
    <xf numFmtId="43" fontId="0" fillId="0" borderId="0" xfId="0" applyNumberFormat="1"/>
    <xf numFmtId="10" fontId="0" fillId="0" borderId="0" xfId="0" applyNumberFormat="1" applyFill="1" applyBorder="1"/>
    <xf numFmtId="10" fontId="0" fillId="0" borderId="0" xfId="0" applyNumberFormat="1" applyBorder="1"/>
    <xf numFmtId="10" fontId="1" fillId="3" borderId="4" xfId="0" applyNumberFormat="1" applyFont="1" applyFill="1" applyBorder="1" applyAlignment="1">
      <alignment horizontal="center"/>
    </xf>
    <xf numFmtId="1" fontId="0" fillId="4" borderId="2" xfId="0" applyNumberFormat="1" applyFill="1" applyBorder="1" applyAlignment="1">
      <alignment horizontal="center"/>
    </xf>
    <xf numFmtId="164" fontId="0" fillId="4" borderId="0" xfId="0" applyNumberFormat="1" applyFill="1" applyBorder="1" applyAlignment="1">
      <alignment horizontal="center"/>
    </xf>
    <xf numFmtId="42" fontId="0" fillId="4" borderId="3" xfId="0" applyNumberFormat="1" applyFill="1" applyBorder="1" applyAlignment="1">
      <alignment horizontal="center"/>
    </xf>
    <xf numFmtId="1" fontId="0" fillId="4" borderId="0" xfId="0" applyNumberFormat="1" applyFill="1" applyBorder="1" applyAlignment="1">
      <alignment horizontal="center"/>
    </xf>
    <xf numFmtId="43" fontId="0" fillId="4" borderId="0" xfId="0" applyNumberFormat="1" applyFill="1" applyBorder="1" applyAlignment="1">
      <alignment horizontal="center"/>
    </xf>
    <xf numFmtId="1" fontId="0" fillId="4" borderId="0" xfId="0" applyNumberFormat="1" applyFill="1" applyAlignment="1">
      <alignment horizontal="center"/>
    </xf>
    <xf numFmtId="1" fontId="5" fillId="4" borderId="2" xfId="0" applyNumberFormat="1" applyFont="1" applyFill="1" applyBorder="1" applyAlignment="1">
      <alignment horizontal="center"/>
    </xf>
    <xf numFmtId="42" fontId="0" fillId="4" borderId="0" xfId="0" applyNumberFormat="1" applyFill="1" applyBorder="1" applyAlignment="1">
      <alignment horizontal="center"/>
    </xf>
    <xf numFmtId="42" fontId="0" fillId="0" borderId="0" xfId="0" applyNumberFormat="1" applyFill="1" applyBorder="1"/>
    <xf numFmtId="42" fontId="0" fillId="0" borderId="0" xfId="0" applyNumberFormat="1" applyBorder="1"/>
    <xf numFmtId="42" fontId="1" fillId="3" borderId="5" xfId="0" applyNumberFormat="1" applyFont="1" applyFill="1" applyBorder="1" applyAlignment="1">
      <alignment horizontal="center"/>
    </xf>
    <xf numFmtId="165" fontId="3" fillId="0" borderId="0" xfId="0" applyNumberFormat="1" applyFont="1" applyFill="1" applyBorder="1"/>
    <xf numFmtId="1" fontId="0" fillId="0" borderId="0" xfId="0" applyNumberFormat="1" applyFill="1" applyBorder="1" applyAlignment="1">
      <alignment horizontal="center"/>
    </xf>
    <xf numFmtId="1" fontId="0" fillId="0" borderId="0" xfId="0" applyNumberFormat="1" applyFill="1" applyBorder="1"/>
    <xf numFmtId="1" fontId="0" fillId="0" borderId="0" xfId="0" applyNumberFormat="1" applyFont="1" applyFill="1" applyBorder="1" applyAlignment="1">
      <alignment horizontal="center"/>
    </xf>
    <xf numFmtId="43" fontId="6" fillId="0" borderId="0" xfId="0" applyNumberFormat="1" applyFon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43" fontId="0" fillId="4" borderId="2" xfId="0" applyNumberFormat="1" applyFill="1" applyBorder="1" applyAlignment="1">
      <alignment horizontal="center"/>
    </xf>
    <xf numFmtId="43" fontId="0" fillId="0" borderId="2" xfId="0" applyNumberFormat="1" applyBorder="1"/>
    <xf numFmtId="166" fontId="8" fillId="0" borderId="2" xfId="1" applyNumberFormat="1" applyFont="1" applyBorder="1"/>
    <xf numFmtId="43" fontId="9" fillId="0" borderId="0" xfId="0" applyNumberFormat="1" applyFont="1" applyBorder="1"/>
    <xf numFmtId="10" fontId="10" fillId="0" borderId="0" xfId="0" applyNumberFormat="1" applyFont="1" applyBorder="1"/>
    <xf numFmtId="42" fontId="9" fillId="0" borderId="3" xfId="0" applyNumberFormat="1" applyFont="1" applyBorder="1"/>
    <xf numFmtId="42" fontId="10" fillId="0" borderId="3" xfId="0" applyNumberFormat="1" applyFont="1" applyBorder="1"/>
    <xf numFmtId="42" fontId="10" fillId="0" borderId="0" xfId="0" applyNumberFormat="1" applyFont="1" applyBorder="1"/>
    <xf numFmtId="43" fontId="9" fillId="0" borderId="2" xfId="0" applyNumberFormat="1" applyFont="1" applyBorder="1"/>
    <xf numFmtId="1" fontId="10" fillId="0" borderId="0" xfId="0" applyNumberFormat="1" applyFont="1" applyFill="1" applyBorder="1"/>
    <xf numFmtId="1" fontId="10" fillId="0" borderId="0" xfId="0" applyNumberFormat="1" applyFont="1"/>
    <xf numFmtId="10" fontId="0" fillId="0" borderId="0" xfId="0" applyNumberFormat="1" applyFont="1" applyBorder="1"/>
    <xf numFmtId="1" fontId="0" fillId="0" borderId="2" xfId="0" applyNumberFormat="1" applyFill="1" applyBorder="1"/>
    <xf numFmtId="43" fontId="11" fillId="0" borderId="2" xfId="0" applyNumberFormat="1" applyFont="1" applyBorder="1"/>
    <xf numFmtId="43" fontId="12" fillId="0" borderId="2" xfId="0" applyNumberFormat="1" applyFont="1" applyBorder="1"/>
    <xf numFmtId="1" fontId="1" fillId="3" borderId="5" xfId="0" applyNumberFormat="1" applyFont="1" applyFill="1" applyBorder="1" applyAlignment="1">
      <alignment horizontal="center"/>
    </xf>
    <xf numFmtId="1" fontId="0" fillId="0" borderId="2" xfId="0" applyNumberFormat="1" applyBorder="1"/>
    <xf numFmtId="43" fontId="7" fillId="0" borderId="2" xfId="0" applyNumberFormat="1" applyFont="1" applyBorder="1"/>
    <xf numFmtId="6" fontId="1" fillId="0" borderId="3" xfId="0" applyNumberFormat="1" applyFont="1" applyFill="1" applyBorder="1"/>
    <xf numFmtId="164" fontId="0" fillId="0" borderId="0" xfId="0" applyNumberFormat="1" applyFill="1" applyBorder="1"/>
    <xf numFmtId="164" fontId="0" fillId="0" borderId="0" xfId="0" applyNumberFormat="1" applyBorder="1"/>
    <xf numFmtId="164" fontId="10" fillId="0" borderId="0" xfId="0" applyNumberFormat="1" applyFont="1" applyBorder="1"/>
    <xf numFmtId="1" fontId="13" fillId="0" borderId="2" xfId="0" applyNumberFormat="1" applyFont="1" applyBorder="1"/>
    <xf numFmtId="42" fontId="0" fillId="0" borderId="3" xfId="0" applyNumberFormat="1" applyFont="1" applyBorder="1"/>
    <xf numFmtId="6" fontId="0" fillId="0" borderId="3" xfId="0" applyNumberFormat="1" applyFont="1" applyBorder="1"/>
    <xf numFmtId="170" fontId="1" fillId="0" borderId="2" xfId="0" applyNumberFormat="1" applyFont="1" applyFill="1" applyBorder="1"/>
    <xf numFmtId="170" fontId="1" fillId="0" borderId="2" xfId="0" applyNumberFormat="1" applyFont="1" applyBorder="1"/>
    <xf numFmtId="170" fontId="9" fillId="0" borderId="2" xfId="0" applyNumberFormat="1" applyFont="1" applyBorder="1"/>
    <xf numFmtId="170" fontId="1" fillId="0" borderId="9" xfId="0" applyNumberFormat="1" applyFont="1" applyBorder="1"/>
    <xf numFmtId="170" fontId="9" fillId="0" borderId="0" xfId="0" applyNumberFormat="1" applyFont="1" applyBorder="1"/>
    <xf numFmtId="170" fontId="1" fillId="0" borderId="0" xfId="0" applyNumberFormat="1" applyFont="1" applyBorder="1"/>
    <xf numFmtId="170" fontId="1" fillId="3" borderId="4" xfId="0" applyNumberFormat="1" applyFont="1" applyFill="1" applyBorder="1" applyAlignment="1">
      <alignment horizontal="center"/>
    </xf>
    <xf numFmtId="6" fontId="2" fillId="0" borderId="3" xfId="0" applyNumberFormat="1" applyFont="1" applyFill="1" applyBorder="1"/>
    <xf numFmtId="42" fontId="2" fillId="0" borderId="3" xfId="0" applyNumberFormat="1" applyFont="1" applyBorder="1"/>
    <xf numFmtId="165" fontId="3" fillId="2" borderId="1" xfId="0" applyNumberFormat="1" applyFont="1" applyFill="1" applyBorder="1" applyAlignment="1">
      <alignment horizontal="center"/>
    </xf>
    <xf numFmtId="165" fontId="3" fillId="2" borderId="6" xfId="0" applyNumberFormat="1" applyFont="1" applyFill="1" applyBorder="1" applyAlignment="1">
      <alignment horizontal="center"/>
    </xf>
    <xf numFmtId="165" fontId="3" fillId="2" borderId="7" xfId="0" applyNumberFormat="1" applyFont="1" applyFill="1" applyBorder="1" applyAlignment="1">
      <alignment horizontal="center"/>
    </xf>
    <xf numFmtId="1" fontId="0" fillId="5" borderId="8" xfId="0" applyNumberFormat="1" applyFill="1" applyBorder="1" applyAlignment="1">
      <alignment horizontal="center"/>
    </xf>
    <xf numFmtId="1" fontId="0" fillId="5" borderId="5" xfId="0" applyNumberFormat="1" applyFill="1" applyBorder="1" applyAlignment="1">
      <alignment horizontal="center"/>
    </xf>
    <xf numFmtId="1" fontId="0" fillId="5" borderId="10" xfId="0" applyNumberFormat="1" applyFill="1" applyBorder="1" applyAlignment="1">
      <alignment horizontal="center"/>
    </xf>
    <xf numFmtId="1" fontId="0" fillId="5" borderId="11" xfId="0" applyNumberFormat="1" applyFill="1" applyBorder="1" applyAlignment="1">
      <alignment horizontal="center"/>
    </xf>
    <xf numFmtId="164" fontId="0" fillId="5" borderId="5" xfId="0" applyNumberFormat="1" applyFill="1" applyBorder="1" applyAlignment="1">
      <alignment horizontal="center"/>
    </xf>
    <xf numFmtId="164" fontId="0" fillId="5" borderId="11" xfId="0" applyNumberForma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E102"/>
  <sheetViews>
    <sheetView tabSelected="1" workbookViewId="0">
      <pane ySplit="1" topLeftCell="A2" activePane="bottomLeft" state="frozen"/>
      <selection pane="bottomLeft" activeCell="I21" sqref="I21"/>
    </sheetView>
  </sheetViews>
  <sheetFormatPr defaultRowHeight="15" x14ac:dyDescent="0.25"/>
  <cols>
    <col min="1" max="1" width="33.140625" style="1" customWidth="1"/>
    <col min="2" max="2" width="14.42578125" style="60" customWidth="1"/>
    <col min="3" max="3" width="9.140625" style="2" customWidth="1"/>
    <col min="4" max="4" width="14.42578125" style="1" customWidth="1"/>
    <col min="5" max="5" width="9.85546875" style="2" customWidth="1"/>
    <col min="6" max="6" width="10.85546875" style="7" customWidth="1"/>
    <col min="7" max="7" width="14.28515625" style="1" customWidth="1"/>
    <col min="8" max="8" width="9.140625" style="2" customWidth="1"/>
    <col min="9" max="9" width="11.42578125" style="7" customWidth="1"/>
    <col min="10" max="10" width="15.140625" style="1" customWidth="1"/>
    <col min="11" max="11" width="9.140625" style="2" customWidth="1"/>
    <col min="12" max="12" width="11" style="7" customWidth="1"/>
    <col min="13" max="13" width="15" style="1" customWidth="1"/>
    <col min="14" max="14" width="9.140625" style="2" customWidth="1"/>
    <col min="15" max="15" width="11" style="7" customWidth="1"/>
    <col min="16" max="16" width="14.28515625" style="1" customWidth="1"/>
    <col min="17" max="17" width="9.140625" style="2" customWidth="1"/>
    <col min="18" max="18" width="11" style="7" customWidth="1"/>
    <col min="19" max="19" width="14.85546875" style="1" customWidth="1"/>
    <col min="20" max="20" width="9.140625" style="2" customWidth="1"/>
    <col min="21" max="21" width="11" style="7" customWidth="1"/>
    <col min="22" max="22" width="14.28515625" style="21" customWidth="1"/>
    <col min="23" max="23" width="10" style="2" customWidth="1"/>
    <col min="24" max="24" width="11" style="7" customWidth="1"/>
    <col min="25" max="25" width="14.28515625" style="21" customWidth="1"/>
    <col min="26" max="26" width="10" style="2" customWidth="1"/>
    <col min="27" max="27" width="11" style="7" customWidth="1"/>
    <col min="28" max="28" width="14.28515625" style="21" customWidth="1"/>
    <col min="29" max="29" width="10" style="2" customWidth="1"/>
    <col min="30" max="30" width="11" style="7" customWidth="1"/>
    <col min="31" max="31" width="14.28515625" style="21" customWidth="1"/>
    <col min="32" max="32" width="10" style="2" customWidth="1"/>
    <col min="33" max="33" width="11" style="7" customWidth="1"/>
    <col min="34" max="34" width="14.28515625" style="21" customWidth="1"/>
    <col min="35" max="35" width="10" style="2" customWidth="1"/>
    <col min="36" max="36" width="15.5703125" style="7" customWidth="1"/>
    <col min="37" max="37" width="14.28515625" style="45" customWidth="1"/>
    <col min="38" max="38" width="10" style="2" customWidth="1"/>
    <col min="39" max="39" width="15.5703125" style="7" customWidth="1"/>
    <col min="40" max="40" width="14.28515625" style="45" customWidth="1"/>
    <col min="41" max="41" width="10" style="2" customWidth="1"/>
    <col min="42" max="42" width="15.5703125" style="7" customWidth="1"/>
    <col min="43" max="43" width="14.28515625" style="45" customWidth="1"/>
    <col min="44" max="44" width="10" style="2" customWidth="1"/>
    <col min="45" max="45" width="15.5703125" style="7" customWidth="1"/>
    <col min="46" max="46" width="14.28515625" style="45" customWidth="1"/>
    <col min="47" max="47" width="10" style="2" customWidth="1"/>
    <col min="48" max="48" width="15.5703125" style="7" customWidth="1"/>
    <col min="49" max="49" width="15" style="56" customWidth="1"/>
    <col min="50" max="50" width="10.140625" style="38" customWidth="1"/>
    <col min="51" max="51" width="13.5703125" style="38" customWidth="1"/>
    <col min="52" max="57" width="9.140625" style="38" customWidth="1"/>
    <col min="58" max="16384" width="9.140625" style="1"/>
  </cols>
  <sheetData>
    <row r="1" spans="1:57" s="3" customFormat="1" x14ac:dyDescent="0.25">
      <c r="A1" s="4"/>
      <c r="B1" s="78">
        <v>40544</v>
      </c>
      <c r="C1" s="80"/>
      <c r="D1" s="78">
        <v>40695</v>
      </c>
      <c r="E1" s="79"/>
      <c r="F1" s="80"/>
      <c r="G1" s="78">
        <v>40969</v>
      </c>
      <c r="H1" s="79"/>
      <c r="I1" s="80"/>
      <c r="J1" s="78"/>
      <c r="K1" s="79"/>
      <c r="L1" s="80"/>
      <c r="M1" s="78"/>
      <c r="N1" s="79"/>
      <c r="O1" s="80"/>
      <c r="P1" s="78"/>
      <c r="Q1" s="79"/>
      <c r="R1" s="80"/>
      <c r="S1" s="78"/>
      <c r="T1" s="79"/>
      <c r="U1" s="80"/>
      <c r="V1" s="78"/>
      <c r="W1" s="79"/>
      <c r="X1" s="80"/>
      <c r="Y1" s="78"/>
      <c r="Z1" s="79"/>
      <c r="AA1" s="80"/>
      <c r="AB1" s="78"/>
      <c r="AC1" s="79"/>
      <c r="AD1" s="80"/>
      <c r="AE1" s="78"/>
      <c r="AF1" s="79"/>
      <c r="AG1" s="80"/>
      <c r="AH1" s="78"/>
      <c r="AI1" s="79"/>
      <c r="AJ1" s="80"/>
      <c r="AK1" s="78"/>
      <c r="AL1" s="79"/>
      <c r="AM1" s="80"/>
      <c r="AN1" s="78"/>
      <c r="AO1" s="79"/>
      <c r="AP1" s="80"/>
      <c r="AQ1" s="78"/>
      <c r="AR1" s="79"/>
      <c r="AS1" s="80"/>
      <c r="AT1" s="78"/>
      <c r="AU1" s="79"/>
      <c r="AV1" s="80"/>
      <c r="AW1" s="78"/>
      <c r="AX1" s="79"/>
      <c r="AY1" s="80"/>
      <c r="AZ1" s="36"/>
      <c r="BA1" s="36"/>
      <c r="BB1" s="36"/>
      <c r="BC1" s="36"/>
      <c r="BD1" s="36"/>
      <c r="BE1" s="36"/>
    </row>
    <row r="2" spans="1:57" s="30" customFormat="1" ht="15.75" x14ac:dyDescent="0.25">
      <c r="A2" s="31" t="s">
        <v>20</v>
      </c>
      <c r="B2" s="25" t="s">
        <v>4</v>
      </c>
      <c r="C2" s="26" t="s">
        <v>5</v>
      </c>
      <c r="D2" s="25" t="s">
        <v>4</v>
      </c>
      <c r="E2" s="26" t="s">
        <v>5</v>
      </c>
      <c r="F2" s="27" t="s">
        <v>6</v>
      </c>
      <c r="G2" s="25" t="s">
        <v>4</v>
      </c>
      <c r="H2" s="26" t="s">
        <v>5</v>
      </c>
      <c r="I2" s="27" t="s">
        <v>6</v>
      </c>
      <c r="J2" s="28" t="s">
        <v>4</v>
      </c>
      <c r="K2" s="26" t="s">
        <v>5</v>
      </c>
      <c r="L2" s="27" t="s">
        <v>6</v>
      </c>
      <c r="M2" s="28" t="s">
        <v>4</v>
      </c>
      <c r="N2" s="26" t="s">
        <v>5</v>
      </c>
      <c r="O2" s="27" t="s">
        <v>6</v>
      </c>
      <c r="P2" s="28" t="s">
        <v>4</v>
      </c>
      <c r="Q2" s="26" t="s">
        <v>5</v>
      </c>
      <c r="R2" s="27" t="s">
        <v>6</v>
      </c>
      <c r="S2" s="28"/>
      <c r="T2" s="26"/>
      <c r="U2" s="27"/>
      <c r="V2" s="29"/>
      <c r="W2" s="26"/>
      <c r="X2" s="27"/>
      <c r="Y2" s="29"/>
      <c r="Z2" s="26"/>
      <c r="AA2" s="27"/>
      <c r="AB2" s="29"/>
      <c r="AC2" s="26"/>
      <c r="AD2" s="27"/>
      <c r="AE2" s="29"/>
      <c r="AF2" s="26"/>
      <c r="AG2" s="27"/>
      <c r="AH2" s="29"/>
      <c r="AI2" s="26"/>
      <c r="AJ2" s="32"/>
      <c r="AK2" s="44"/>
      <c r="AL2" s="26"/>
      <c r="AM2" s="32"/>
      <c r="AN2" s="44"/>
      <c r="AO2" s="26"/>
      <c r="AP2" s="32"/>
      <c r="AQ2" s="44"/>
      <c r="AR2" s="26"/>
      <c r="AS2" s="32"/>
      <c r="AT2" s="44"/>
      <c r="AU2" s="26"/>
      <c r="AV2" s="32"/>
      <c r="AW2" s="44"/>
      <c r="AX2" s="26"/>
      <c r="AY2" s="32"/>
      <c r="AZ2" s="37"/>
      <c r="BA2" s="37"/>
      <c r="BB2" s="37"/>
      <c r="BC2" s="37"/>
      <c r="BD2" s="37"/>
      <c r="BE2" s="37"/>
    </row>
    <row r="3" spans="1:57" s="16" customFormat="1" ht="15.75" x14ac:dyDescent="0.25">
      <c r="A3" s="13" t="s">
        <v>14</v>
      </c>
      <c r="B3" s="69">
        <v>300000</v>
      </c>
      <c r="C3" s="63">
        <f>B3/$B$17</f>
        <v>0.56338028169014087</v>
      </c>
      <c r="D3" s="69">
        <f>B3</f>
        <v>300000</v>
      </c>
      <c r="E3" s="63">
        <f>D3/$D$17</f>
        <v>0.55074540637025182</v>
      </c>
      <c r="G3" s="69">
        <f>D3</f>
        <v>300000</v>
      </c>
      <c r="H3" s="63">
        <f t="shared" ref="H3:H9" si="0">G3/$D$17</f>
        <v>0.55074540637025182</v>
      </c>
      <c r="J3" s="17"/>
      <c r="K3" s="22"/>
      <c r="L3" s="15"/>
      <c r="M3" s="17"/>
      <c r="N3" s="22"/>
      <c r="O3" s="15"/>
      <c r="P3" s="17"/>
      <c r="Q3" s="22"/>
      <c r="R3" s="15"/>
      <c r="S3" s="17"/>
      <c r="T3" s="22"/>
      <c r="U3" s="15"/>
      <c r="V3" s="17"/>
      <c r="W3" s="22"/>
      <c r="X3" s="15"/>
      <c r="Y3" s="17"/>
      <c r="Z3" s="22"/>
      <c r="AA3" s="15"/>
      <c r="AB3" s="17"/>
      <c r="AC3" s="22"/>
      <c r="AD3" s="15"/>
      <c r="AE3" s="17"/>
      <c r="AF3" s="22"/>
      <c r="AG3" s="15"/>
      <c r="AH3" s="17"/>
      <c r="AI3" s="22"/>
      <c r="AJ3" s="33"/>
      <c r="AK3" s="17"/>
      <c r="AL3" s="22"/>
      <c r="AM3" s="33"/>
      <c r="AN3" s="17"/>
      <c r="AO3" s="22"/>
      <c r="AP3" s="33"/>
      <c r="AQ3" s="17"/>
      <c r="AR3" s="22"/>
      <c r="AS3" s="33"/>
      <c r="AT3" s="17"/>
      <c r="AU3" s="22"/>
      <c r="AV3" s="33"/>
      <c r="AW3" s="17"/>
      <c r="AX3" s="22"/>
      <c r="AY3" s="33"/>
      <c r="AZ3" s="38"/>
      <c r="BA3" s="38"/>
      <c r="BB3" s="38"/>
      <c r="BC3" s="38"/>
      <c r="BD3" s="38"/>
      <c r="BE3" s="38"/>
    </row>
    <row r="4" spans="1:57" s="16" customFormat="1" ht="15.75" x14ac:dyDescent="0.25">
      <c r="A4" s="16" t="s">
        <v>15</v>
      </c>
      <c r="B4" s="69">
        <v>200000</v>
      </c>
      <c r="C4" s="63">
        <f t="shared" ref="C4:C11" si="1">B4/$B$17</f>
        <v>0.37558685446009388</v>
      </c>
      <c r="D4" s="69">
        <v>211171.3</v>
      </c>
      <c r="E4" s="63">
        <f t="shared" ref="E4:E11" si="2">D4/$D$17</f>
        <v>0.3876720781074478</v>
      </c>
      <c r="F4" s="76">
        <v>15000</v>
      </c>
      <c r="G4" s="69">
        <v>211171.3</v>
      </c>
      <c r="H4" s="63">
        <f t="shared" si="0"/>
        <v>0.3876720781074478</v>
      </c>
      <c r="I4" s="62"/>
      <c r="J4" s="17"/>
      <c r="K4" s="22"/>
      <c r="L4" s="15"/>
      <c r="M4" s="17"/>
      <c r="N4" s="22"/>
      <c r="O4" s="15"/>
      <c r="P4" s="17"/>
      <c r="Q4" s="22"/>
      <c r="R4" s="15"/>
      <c r="S4" s="17"/>
      <c r="T4" s="22"/>
      <c r="U4" s="15"/>
      <c r="V4" s="17"/>
      <c r="W4" s="22"/>
      <c r="X4" s="15"/>
      <c r="Y4" s="17"/>
      <c r="Z4" s="22"/>
      <c r="AA4" s="15"/>
      <c r="AB4" s="17"/>
      <c r="AC4" s="22"/>
      <c r="AD4" s="15"/>
      <c r="AE4" s="17"/>
      <c r="AF4" s="22"/>
      <c r="AG4" s="15"/>
      <c r="AH4" s="17"/>
      <c r="AI4" s="22"/>
      <c r="AJ4" s="33"/>
      <c r="AK4" s="17"/>
      <c r="AL4" s="22"/>
      <c r="AM4" s="33"/>
      <c r="AN4" s="17"/>
      <c r="AO4" s="22"/>
      <c r="AP4" s="33"/>
      <c r="AQ4" s="17"/>
      <c r="AR4" s="22"/>
      <c r="AS4" s="33"/>
      <c r="AT4" s="17"/>
      <c r="AU4" s="22"/>
      <c r="AV4" s="33"/>
      <c r="AW4" s="17"/>
      <c r="AX4" s="22"/>
      <c r="AY4" s="33"/>
      <c r="AZ4" s="38"/>
      <c r="BA4" s="38"/>
      <c r="BB4" s="38"/>
      <c r="BC4" s="38"/>
      <c r="BD4" s="38"/>
      <c r="BE4" s="38"/>
    </row>
    <row r="5" spans="1:57" s="16" customFormat="1" ht="15.75" x14ac:dyDescent="0.25">
      <c r="A5" s="16" t="s">
        <v>21</v>
      </c>
      <c r="B5" s="69">
        <v>5000</v>
      </c>
      <c r="C5" s="63">
        <f>B5/$B$17</f>
        <v>9.3896713615023476E-3</v>
      </c>
      <c r="D5" s="69">
        <v>6045</v>
      </c>
      <c r="E5" s="63">
        <f t="shared" si="2"/>
        <v>1.1097519938360573E-2</v>
      </c>
      <c r="F5" s="14">
        <v>1400</v>
      </c>
      <c r="G5" s="69">
        <v>6812.3</v>
      </c>
      <c r="H5" s="63">
        <f t="shared" si="0"/>
        <v>1.2506143106053554E-2</v>
      </c>
      <c r="I5" s="76">
        <v>2500</v>
      </c>
      <c r="J5" s="17"/>
      <c r="K5" s="22"/>
      <c r="L5" s="15"/>
      <c r="M5" s="17"/>
      <c r="N5" s="22"/>
      <c r="O5" s="15"/>
      <c r="P5" s="17"/>
      <c r="Q5" s="22"/>
      <c r="R5" s="15"/>
      <c r="S5" s="17"/>
      <c r="T5" s="22"/>
      <c r="U5" s="15"/>
      <c r="V5" s="17"/>
      <c r="W5" s="22"/>
      <c r="X5" s="15"/>
      <c r="Y5" s="17"/>
      <c r="Z5" s="22"/>
      <c r="AA5" s="15"/>
      <c r="AB5" s="17"/>
      <c r="AC5" s="22"/>
      <c r="AD5" s="15"/>
      <c r="AE5" s="17"/>
      <c r="AF5" s="22"/>
      <c r="AG5" s="15"/>
      <c r="AH5" s="17"/>
      <c r="AI5" s="22"/>
      <c r="AJ5" s="33"/>
      <c r="AK5" s="17"/>
      <c r="AL5" s="22"/>
      <c r="AM5" s="33"/>
      <c r="AN5" s="17"/>
      <c r="AO5" s="22"/>
      <c r="AP5" s="33"/>
      <c r="AQ5" s="17"/>
      <c r="AR5" s="22"/>
      <c r="AS5" s="33"/>
      <c r="AT5" s="17"/>
      <c r="AU5" s="22"/>
      <c r="AV5" s="33"/>
      <c r="AW5" s="17"/>
      <c r="AX5" s="22"/>
      <c r="AY5" s="33"/>
      <c r="AZ5" s="38"/>
      <c r="BA5" s="38"/>
      <c r="BB5" s="38"/>
      <c r="BC5" s="38"/>
      <c r="BD5" s="38"/>
      <c r="BE5" s="38"/>
    </row>
    <row r="6" spans="1:57" ht="15.75" x14ac:dyDescent="0.25">
      <c r="A6" s="5" t="s">
        <v>16</v>
      </c>
      <c r="B6" s="69">
        <v>5000</v>
      </c>
      <c r="C6" s="63">
        <f t="shared" si="1"/>
        <v>9.3896713615023476E-3</v>
      </c>
      <c r="D6" s="69">
        <v>5000</v>
      </c>
      <c r="E6" s="63">
        <f t="shared" si="2"/>
        <v>9.1790901061708629E-3</v>
      </c>
      <c r="F6" s="6"/>
      <c r="G6" s="69">
        <v>5000</v>
      </c>
      <c r="H6" s="63">
        <f t="shared" si="0"/>
        <v>9.1790901061708629E-3</v>
      </c>
      <c r="I6" s="77"/>
      <c r="J6" s="18"/>
      <c r="K6" s="23"/>
      <c r="L6" s="8"/>
      <c r="M6" s="18"/>
      <c r="N6" s="23"/>
      <c r="O6" s="8"/>
      <c r="P6" s="18"/>
      <c r="Q6" s="23"/>
      <c r="R6" s="8"/>
      <c r="S6" s="18"/>
      <c r="T6" s="23"/>
      <c r="U6" s="8"/>
      <c r="V6" s="18"/>
      <c r="W6" s="23"/>
      <c r="X6" s="8"/>
      <c r="Y6" s="18"/>
      <c r="Z6" s="23"/>
      <c r="AA6" s="8"/>
      <c r="AB6" s="18"/>
      <c r="AC6" s="23"/>
      <c r="AD6" s="8"/>
      <c r="AE6" s="18"/>
      <c r="AF6" s="23"/>
      <c r="AG6" s="8"/>
      <c r="AH6" s="18"/>
      <c r="AI6" s="23"/>
      <c r="AJ6" s="34"/>
      <c r="AK6" s="18"/>
      <c r="AL6" s="23"/>
      <c r="AM6" s="34"/>
      <c r="AN6" s="18"/>
      <c r="AO6" s="23"/>
      <c r="AP6" s="34"/>
      <c r="AQ6" s="18"/>
      <c r="AR6" s="23"/>
      <c r="AS6" s="34"/>
      <c r="AT6" s="18"/>
      <c r="AU6" s="23"/>
      <c r="AV6" s="34"/>
      <c r="AW6" s="18"/>
      <c r="AX6" s="23"/>
      <c r="AY6" s="34"/>
    </row>
    <row r="7" spans="1:57" ht="15.75" x14ac:dyDescent="0.25">
      <c r="A7" s="5" t="s">
        <v>17</v>
      </c>
      <c r="B7" s="69">
        <v>5000</v>
      </c>
      <c r="C7" s="63">
        <f t="shared" si="1"/>
        <v>9.3896713615023476E-3</v>
      </c>
      <c r="D7" s="69">
        <v>5000</v>
      </c>
      <c r="E7" s="63">
        <f t="shared" si="2"/>
        <v>9.1790901061708629E-3</v>
      </c>
      <c r="F7" s="6"/>
      <c r="G7" s="69">
        <v>5000</v>
      </c>
      <c r="H7" s="63">
        <f t="shared" si="0"/>
        <v>9.1790901061708629E-3</v>
      </c>
      <c r="I7" s="77"/>
      <c r="J7" s="18"/>
      <c r="K7" s="23"/>
      <c r="L7" s="8"/>
      <c r="M7" s="18"/>
      <c r="N7" s="23"/>
      <c r="O7" s="8"/>
      <c r="P7" s="18"/>
      <c r="Q7" s="23"/>
      <c r="R7" s="8"/>
      <c r="S7" s="18"/>
      <c r="T7" s="23"/>
      <c r="U7" s="8"/>
      <c r="V7" s="18"/>
      <c r="W7" s="23"/>
      <c r="X7" s="8"/>
      <c r="Y7" s="18"/>
      <c r="Z7" s="23"/>
      <c r="AA7" s="8"/>
      <c r="AB7" s="18"/>
      <c r="AC7" s="23"/>
      <c r="AD7" s="8"/>
      <c r="AE7" s="18"/>
      <c r="AF7" s="23"/>
      <c r="AG7" s="8"/>
      <c r="AH7" s="18"/>
      <c r="AI7" s="23"/>
      <c r="AJ7" s="34"/>
      <c r="AK7" s="18"/>
      <c r="AL7" s="23"/>
      <c r="AM7" s="34"/>
      <c r="AN7" s="18"/>
      <c r="AO7" s="23"/>
      <c r="AP7" s="34"/>
      <c r="AQ7" s="18"/>
      <c r="AR7" s="23"/>
      <c r="AS7" s="34"/>
      <c r="AT7" s="18"/>
      <c r="AU7" s="23"/>
      <c r="AV7" s="34"/>
      <c r="AW7" s="18"/>
      <c r="AX7" s="23"/>
      <c r="AY7" s="34"/>
    </row>
    <row r="8" spans="1:57" ht="15.75" x14ac:dyDescent="0.25">
      <c r="A8" s="5" t="s">
        <v>18</v>
      </c>
      <c r="B8" s="69">
        <v>5000</v>
      </c>
      <c r="C8" s="63">
        <f t="shared" si="1"/>
        <v>9.3896713615023476E-3</v>
      </c>
      <c r="D8" s="69">
        <v>5000</v>
      </c>
      <c r="E8" s="63">
        <f t="shared" si="2"/>
        <v>9.1790901061708629E-3</v>
      </c>
      <c r="F8" s="6"/>
      <c r="G8" s="69">
        <v>6812.3</v>
      </c>
      <c r="H8" s="63">
        <f t="shared" si="0"/>
        <v>1.2506143106053554E-2</v>
      </c>
      <c r="I8" s="76">
        <v>2500</v>
      </c>
      <c r="J8" s="18"/>
      <c r="K8" s="23"/>
      <c r="L8" s="8"/>
      <c r="M8" s="18"/>
      <c r="N8" s="23"/>
      <c r="O8" s="8"/>
      <c r="P8" s="18"/>
      <c r="Q8" s="23"/>
      <c r="R8" s="8"/>
      <c r="S8" s="18"/>
      <c r="T8" s="23"/>
      <c r="U8" s="8"/>
      <c r="V8" s="18"/>
      <c r="W8" s="23"/>
      <c r="X8" s="8"/>
      <c r="Y8" s="18"/>
      <c r="Z8" s="23"/>
      <c r="AA8" s="8"/>
      <c r="AB8" s="18"/>
      <c r="AC8" s="23"/>
      <c r="AD8" s="8"/>
      <c r="AE8" s="18"/>
      <c r="AF8" s="23"/>
      <c r="AG8" s="8"/>
      <c r="AH8" s="18"/>
      <c r="AI8" s="23"/>
      <c r="AJ8" s="34"/>
      <c r="AK8" s="18"/>
      <c r="AL8" s="23"/>
      <c r="AM8" s="34"/>
      <c r="AN8" s="18"/>
      <c r="AO8" s="23"/>
      <c r="AP8" s="34"/>
      <c r="AQ8" s="18"/>
      <c r="AR8" s="23"/>
      <c r="AS8" s="34"/>
      <c r="AT8" s="18"/>
      <c r="AU8" s="23"/>
      <c r="AV8" s="34"/>
      <c r="AW8" s="18"/>
      <c r="AX8" s="23"/>
      <c r="AY8" s="34"/>
    </row>
    <row r="9" spans="1:57" ht="15.75" x14ac:dyDescent="0.25">
      <c r="A9" s="5" t="s">
        <v>19</v>
      </c>
      <c r="B9" s="69">
        <v>5000</v>
      </c>
      <c r="C9" s="63">
        <f t="shared" si="1"/>
        <v>9.3896713615023476E-3</v>
      </c>
      <c r="D9" s="69">
        <v>5000</v>
      </c>
      <c r="E9" s="63">
        <f t="shared" si="2"/>
        <v>9.1790901061708629E-3</v>
      </c>
      <c r="F9" s="6"/>
      <c r="G9" s="69">
        <v>5000</v>
      </c>
      <c r="H9" s="63">
        <f t="shared" si="0"/>
        <v>9.1790901061708629E-3</v>
      </c>
      <c r="I9" s="6"/>
      <c r="J9" s="18"/>
      <c r="K9" s="23"/>
      <c r="L9" s="8"/>
      <c r="M9" s="18"/>
      <c r="N9" s="23"/>
      <c r="O9" s="8"/>
      <c r="P9" s="18"/>
      <c r="Q9" s="23"/>
      <c r="R9" s="8"/>
      <c r="S9" s="18"/>
      <c r="T9" s="23"/>
      <c r="U9" s="8"/>
      <c r="V9" s="18"/>
      <c r="W9" s="23"/>
      <c r="X9" s="8"/>
      <c r="Y9" s="18"/>
      <c r="Z9" s="23"/>
      <c r="AA9" s="8"/>
      <c r="AB9" s="18"/>
      <c r="AC9" s="23"/>
      <c r="AD9" s="8"/>
      <c r="AE9" s="18"/>
      <c r="AF9" s="23"/>
      <c r="AG9" s="8"/>
      <c r="AH9" s="18"/>
      <c r="AI9" s="23"/>
      <c r="AJ9" s="34"/>
      <c r="AK9" s="18"/>
      <c r="AL9" s="23"/>
      <c r="AM9" s="34"/>
      <c r="AN9" s="18"/>
      <c r="AO9" s="23"/>
      <c r="AP9" s="34"/>
      <c r="AQ9" s="18"/>
      <c r="AR9" s="23"/>
      <c r="AS9" s="34"/>
      <c r="AT9" s="18"/>
      <c r="AU9" s="23"/>
      <c r="AV9" s="34"/>
      <c r="AW9" s="18"/>
      <c r="AX9" s="23"/>
      <c r="AY9" s="34"/>
    </row>
    <row r="10" spans="1:57" ht="15.75" x14ac:dyDescent="0.25">
      <c r="A10" s="5" t="s">
        <v>27</v>
      </c>
      <c r="B10" s="69">
        <v>5000</v>
      </c>
      <c r="C10" s="63">
        <f t="shared" si="1"/>
        <v>9.3896713615023476E-3</v>
      </c>
      <c r="D10" s="69">
        <v>5000</v>
      </c>
      <c r="E10" s="63">
        <f t="shared" si="2"/>
        <v>9.1790901061708629E-3</v>
      </c>
      <c r="F10" s="6"/>
      <c r="G10" s="69">
        <v>5000</v>
      </c>
      <c r="H10" s="63">
        <f t="shared" ref="H10:H14" si="3">G10/$D$17</f>
        <v>9.1790901061708629E-3</v>
      </c>
      <c r="I10" s="6"/>
      <c r="J10" s="18"/>
      <c r="K10" s="23"/>
      <c r="L10" s="8"/>
      <c r="M10" s="18"/>
      <c r="N10" s="23"/>
      <c r="O10" s="8"/>
      <c r="P10" s="18"/>
      <c r="Q10" s="23"/>
      <c r="R10" s="8"/>
      <c r="S10" s="18"/>
      <c r="T10" s="23"/>
      <c r="U10" s="8"/>
      <c r="V10" s="18"/>
      <c r="W10" s="23"/>
      <c r="X10" s="8"/>
      <c r="Y10" s="18"/>
      <c r="Z10" s="23"/>
      <c r="AA10" s="8"/>
      <c r="AB10" s="18"/>
      <c r="AC10" s="23"/>
      <c r="AD10" s="8"/>
      <c r="AE10" s="18"/>
      <c r="AF10" s="23"/>
      <c r="AG10" s="8"/>
      <c r="AH10" s="18"/>
      <c r="AI10" s="23"/>
      <c r="AJ10" s="34"/>
      <c r="AK10" s="18"/>
      <c r="AL10" s="23"/>
      <c r="AM10" s="34"/>
      <c r="AN10" s="18"/>
      <c r="AO10" s="23"/>
      <c r="AP10" s="34"/>
      <c r="AQ10" s="18"/>
      <c r="AR10" s="23"/>
      <c r="AS10" s="34"/>
      <c r="AT10" s="18"/>
      <c r="AU10" s="23"/>
      <c r="AV10" s="34"/>
      <c r="AW10" s="18"/>
      <c r="AX10" s="23"/>
      <c r="AY10" s="34"/>
    </row>
    <row r="11" spans="1:57" ht="15.75" x14ac:dyDescent="0.25">
      <c r="A11" s="5" t="s">
        <v>26</v>
      </c>
      <c r="B11" s="69">
        <v>2500</v>
      </c>
      <c r="C11" s="63">
        <f t="shared" si="1"/>
        <v>4.6948356807511738E-3</v>
      </c>
      <c r="D11" s="69">
        <v>2500</v>
      </c>
      <c r="E11" s="63">
        <f t="shared" si="2"/>
        <v>4.5895450530854314E-3</v>
      </c>
      <c r="F11" s="6"/>
      <c r="G11" s="69">
        <v>2500</v>
      </c>
      <c r="H11" s="63">
        <f>G11/$D$17</f>
        <v>4.5895450530854314E-3</v>
      </c>
      <c r="I11" s="6"/>
      <c r="J11" s="18"/>
      <c r="K11" s="23"/>
      <c r="L11" s="8"/>
      <c r="M11" s="18"/>
      <c r="N11" s="23"/>
      <c r="O11" s="8"/>
      <c r="P11" s="18"/>
      <c r="Q11" s="23"/>
      <c r="R11" s="8"/>
      <c r="S11" s="18"/>
      <c r="T11" s="23"/>
      <c r="U11" s="8"/>
      <c r="V11" s="18"/>
      <c r="W11" s="23"/>
      <c r="X11" s="8"/>
      <c r="Y11" s="18"/>
      <c r="Z11" s="23"/>
      <c r="AA11" s="8"/>
      <c r="AB11" s="18"/>
      <c r="AC11" s="23"/>
      <c r="AD11" s="8"/>
      <c r="AE11" s="18"/>
      <c r="AF11" s="23"/>
      <c r="AG11" s="8"/>
      <c r="AH11" s="18"/>
      <c r="AI11" s="23"/>
      <c r="AJ11" s="34"/>
      <c r="AK11" s="18"/>
      <c r="AL11" s="23"/>
      <c r="AM11" s="34"/>
      <c r="AN11" s="18"/>
      <c r="AO11" s="23"/>
      <c r="AP11" s="34"/>
      <c r="AQ11" s="18"/>
      <c r="AR11" s="23"/>
      <c r="AS11" s="34"/>
      <c r="AT11" s="18"/>
      <c r="AU11" s="23"/>
      <c r="AV11" s="34"/>
      <c r="AW11" s="18"/>
      <c r="AX11" s="23"/>
      <c r="AY11" s="34"/>
    </row>
    <row r="12" spans="1:57" ht="15.75" x14ac:dyDescent="0.25">
      <c r="A12" s="5" t="s">
        <v>23</v>
      </c>
      <c r="B12" s="70"/>
      <c r="C12" s="64"/>
      <c r="D12" s="70"/>
      <c r="E12" s="64"/>
      <c r="F12" s="6"/>
      <c r="G12" s="70">
        <v>7249</v>
      </c>
      <c r="H12" s="23">
        <f t="shared" si="3"/>
        <v>1.3307844835926516E-2</v>
      </c>
      <c r="I12" s="68">
        <v>10000</v>
      </c>
      <c r="J12" s="18"/>
      <c r="K12" s="23"/>
      <c r="L12" s="8"/>
      <c r="M12" s="18"/>
      <c r="N12" s="23"/>
      <c r="O12" s="8"/>
      <c r="P12" s="18"/>
      <c r="Q12" s="23"/>
      <c r="R12" s="8"/>
      <c r="S12" s="18"/>
      <c r="T12" s="23"/>
      <c r="U12" s="8"/>
      <c r="V12" s="18"/>
      <c r="W12" s="23"/>
      <c r="X12" s="8"/>
      <c r="Y12" s="18"/>
      <c r="Z12" s="23"/>
      <c r="AA12" s="8"/>
      <c r="AB12" s="18"/>
      <c r="AC12" s="23"/>
      <c r="AD12" s="8"/>
      <c r="AE12" s="18"/>
      <c r="AF12" s="23"/>
      <c r="AG12" s="8"/>
      <c r="AH12" s="18"/>
      <c r="AI12" s="23"/>
      <c r="AJ12" s="34"/>
      <c r="AK12" s="18"/>
      <c r="AL12" s="23"/>
      <c r="AM12" s="34"/>
      <c r="AN12" s="18"/>
      <c r="AO12" s="23"/>
      <c r="AP12" s="34"/>
      <c r="AQ12" s="18"/>
      <c r="AR12" s="23"/>
      <c r="AS12" s="34"/>
      <c r="AT12" s="18"/>
      <c r="AU12" s="23"/>
      <c r="AV12" s="34"/>
      <c r="AW12" s="18"/>
      <c r="AX12" s="23"/>
      <c r="AY12" s="34"/>
    </row>
    <row r="13" spans="1:57" s="54" customFormat="1" ht="15.75" x14ac:dyDescent="0.25">
      <c r="A13" s="66" t="s">
        <v>24</v>
      </c>
      <c r="B13" s="71"/>
      <c r="C13" s="65"/>
      <c r="D13" s="71"/>
      <c r="E13" s="65"/>
      <c r="F13" s="49"/>
      <c r="G13" s="70">
        <v>7249</v>
      </c>
      <c r="H13" s="23">
        <f t="shared" si="3"/>
        <v>1.3307844835926516E-2</v>
      </c>
      <c r="I13" s="68">
        <v>10000</v>
      </c>
      <c r="J13" s="47"/>
      <c r="K13" s="48"/>
      <c r="L13" s="50"/>
      <c r="M13" s="47"/>
      <c r="N13" s="48"/>
      <c r="O13" s="50"/>
      <c r="P13" s="47"/>
      <c r="Q13" s="48"/>
      <c r="R13" s="50"/>
      <c r="S13" s="47"/>
      <c r="T13" s="48"/>
      <c r="U13" s="50"/>
      <c r="V13" s="47"/>
      <c r="W13" s="48"/>
      <c r="X13" s="50"/>
      <c r="Y13" s="47"/>
      <c r="Z13" s="48"/>
      <c r="AA13" s="50"/>
      <c r="AB13" s="47"/>
      <c r="AC13" s="48"/>
      <c r="AD13" s="50"/>
      <c r="AE13" s="47"/>
      <c r="AF13" s="48"/>
      <c r="AG13" s="50"/>
      <c r="AH13" s="47"/>
      <c r="AI13" s="48"/>
      <c r="AJ13" s="51"/>
      <c r="AK13" s="52"/>
      <c r="AL13" s="48"/>
      <c r="AM13" s="51"/>
      <c r="AN13" s="52"/>
      <c r="AO13" s="48"/>
      <c r="AP13" s="51"/>
      <c r="AQ13" s="52"/>
      <c r="AR13" s="48"/>
      <c r="AS13" s="51"/>
      <c r="AT13" s="52"/>
      <c r="AU13" s="48"/>
      <c r="AV13" s="51"/>
      <c r="AW13" s="57"/>
      <c r="AX13" s="48"/>
      <c r="AY13" s="51"/>
      <c r="AZ13" s="53"/>
      <c r="BA13" s="53"/>
      <c r="BB13" s="53"/>
      <c r="BC13" s="53"/>
      <c r="BD13" s="53"/>
      <c r="BE13" s="53"/>
    </row>
    <row r="14" spans="1:57" s="54" customFormat="1" ht="15.75" x14ac:dyDescent="0.25">
      <c r="A14" s="66" t="s">
        <v>25</v>
      </c>
      <c r="B14" s="71"/>
      <c r="C14" s="65"/>
      <c r="D14" s="71"/>
      <c r="E14" s="65"/>
      <c r="F14" s="49"/>
      <c r="G14" s="70">
        <v>7249</v>
      </c>
      <c r="H14" s="23">
        <f t="shared" si="3"/>
        <v>1.3307844835926516E-2</v>
      </c>
      <c r="I14" s="68">
        <v>10000</v>
      </c>
      <c r="J14" s="47"/>
      <c r="K14" s="48"/>
      <c r="L14" s="50"/>
      <c r="M14" s="47"/>
      <c r="N14" s="48"/>
      <c r="O14" s="50"/>
      <c r="P14" s="47"/>
      <c r="Q14" s="48"/>
      <c r="R14" s="50"/>
      <c r="S14" s="47"/>
      <c r="T14" s="48"/>
      <c r="U14" s="50"/>
      <c r="V14" s="47"/>
      <c r="W14" s="48"/>
      <c r="X14" s="50"/>
      <c r="Y14" s="47"/>
      <c r="Z14" s="48"/>
      <c r="AA14" s="50"/>
      <c r="AB14" s="47"/>
      <c r="AC14" s="48"/>
      <c r="AD14" s="50"/>
      <c r="AE14" s="47"/>
      <c r="AF14" s="48"/>
      <c r="AG14" s="50"/>
      <c r="AH14" s="47"/>
      <c r="AI14" s="48"/>
      <c r="AJ14" s="51"/>
      <c r="AK14" s="52"/>
      <c r="AL14" s="48"/>
      <c r="AM14" s="51"/>
      <c r="AN14" s="52"/>
      <c r="AO14" s="48"/>
      <c r="AP14" s="51"/>
      <c r="AQ14" s="52"/>
      <c r="AR14" s="48"/>
      <c r="AS14" s="51"/>
      <c r="AT14" s="52"/>
      <c r="AU14" s="48"/>
      <c r="AV14" s="51"/>
      <c r="AW14" s="57"/>
      <c r="AX14" s="48"/>
      <c r="AY14" s="51"/>
      <c r="AZ14" s="53"/>
      <c r="BA14" s="53"/>
      <c r="BB14" s="53"/>
      <c r="BC14" s="53"/>
      <c r="BD14" s="53"/>
      <c r="BE14" s="53"/>
    </row>
    <row r="15" spans="1:57" s="54" customFormat="1" ht="15.75" x14ac:dyDescent="0.25">
      <c r="A15" s="66"/>
      <c r="B15" s="71"/>
      <c r="C15" s="65"/>
      <c r="D15" s="71"/>
      <c r="E15" s="65"/>
      <c r="F15" s="49"/>
      <c r="G15" s="73"/>
      <c r="H15" s="48"/>
      <c r="I15" s="68"/>
      <c r="J15" s="47"/>
      <c r="K15" s="48"/>
      <c r="L15" s="50"/>
      <c r="M15" s="47"/>
      <c r="N15" s="48"/>
      <c r="O15" s="50"/>
      <c r="P15" s="47"/>
      <c r="Q15" s="48"/>
      <c r="R15" s="50"/>
      <c r="S15" s="47"/>
      <c r="T15" s="48"/>
      <c r="U15" s="50"/>
      <c r="V15" s="47"/>
      <c r="W15" s="48"/>
      <c r="X15" s="50"/>
      <c r="Y15" s="47"/>
      <c r="Z15" s="48"/>
      <c r="AA15" s="50"/>
      <c r="AB15" s="47"/>
      <c r="AC15" s="48"/>
      <c r="AD15" s="50"/>
      <c r="AE15" s="47"/>
      <c r="AF15" s="48"/>
      <c r="AG15" s="50"/>
      <c r="AH15" s="47"/>
      <c r="AI15" s="48"/>
      <c r="AJ15" s="51"/>
      <c r="AK15" s="52"/>
      <c r="AL15" s="48"/>
      <c r="AM15" s="51"/>
      <c r="AN15" s="52"/>
      <c r="AO15" s="48"/>
      <c r="AP15" s="51"/>
      <c r="AQ15" s="52"/>
      <c r="AR15" s="48"/>
      <c r="AS15" s="51"/>
      <c r="AT15" s="52"/>
      <c r="AU15" s="48"/>
      <c r="AV15" s="51"/>
      <c r="AW15" s="57"/>
      <c r="AX15" s="48"/>
      <c r="AY15" s="51"/>
      <c r="AZ15" s="53"/>
      <c r="BA15" s="53"/>
      <c r="BB15" s="53"/>
      <c r="BC15" s="53"/>
      <c r="BD15" s="53"/>
      <c r="BE15" s="53"/>
    </row>
    <row r="16" spans="1:57" ht="15.75" x14ac:dyDescent="0.25">
      <c r="A16" s="5"/>
      <c r="B16" s="70"/>
      <c r="C16" s="64"/>
      <c r="D16" s="72"/>
      <c r="E16" s="64"/>
      <c r="F16" s="6"/>
      <c r="G16" s="74"/>
      <c r="H16" s="23"/>
      <c r="I16" s="67"/>
      <c r="J16" s="19"/>
      <c r="K16" s="23"/>
      <c r="L16" s="8"/>
      <c r="M16" s="19"/>
      <c r="N16" s="23"/>
      <c r="O16" s="8"/>
      <c r="P16" s="19"/>
      <c r="Q16" s="23"/>
      <c r="R16" s="8"/>
      <c r="S16" s="19"/>
      <c r="T16" s="23"/>
      <c r="U16" s="8"/>
      <c r="V16" s="19"/>
      <c r="W16" s="23"/>
      <c r="X16" s="8"/>
      <c r="Y16" s="19"/>
      <c r="Z16" s="23"/>
      <c r="AA16" s="8"/>
      <c r="AB16" s="19"/>
      <c r="AC16" s="23"/>
      <c r="AD16" s="8"/>
      <c r="AE16" s="19"/>
      <c r="AF16" s="23"/>
      <c r="AG16" s="8"/>
      <c r="AH16" s="19"/>
      <c r="AI16" s="23"/>
      <c r="AJ16" s="34"/>
      <c r="AK16" s="18"/>
      <c r="AL16" s="23"/>
      <c r="AM16" s="34"/>
      <c r="AN16" s="18"/>
      <c r="AO16" s="23"/>
      <c r="AP16" s="34"/>
      <c r="AQ16" s="18"/>
      <c r="AR16" s="23"/>
      <c r="AS16" s="34"/>
      <c r="AT16" s="18"/>
      <c r="AU16" s="23"/>
      <c r="AV16" s="34"/>
      <c r="AW16" s="58"/>
      <c r="AX16" s="55"/>
      <c r="AY16" s="34"/>
    </row>
    <row r="17" spans="1:57" s="11" customFormat="1" ht="15.75" x14ac:dyDescent="0.25">
      <c r="A17" s="59" t="s">
        <v>3</v>
      </c>
      <c r="B17" s="75">
        <f>SUM(B3:B16)</f>
        <v>532500</v>
      </c>
      <c r="C17" s="9">
        <f>SUM(C3:C16)</f>
        <v>1.0000000000000002</v>
      </c>
      <c r="D17" s="75">
        <f>SUM(D3:D16)</f>
        <v>544716.30000000005</v>
      </c>
      <c r="E17" s="9">
        <f>D17/$D$17</f>
        <v>1</v>
      </c>
      <c r="F17" s="10">
        <f>SUM(F3:F16)</f>
        <v>16400</v>
      </c>
      <c r="G17" s="75">
        <f>SUM(G3:G16)</f>
        <v>569042.9</v>
      </c>
      <c r="H17" s="9">
        <f>G17/$G$17</f>
        <v>1</v>
      </c>
      <c r="I17" s="10">
        <f>SUM(I3:I16)</f>
        <v>35000</v>
      </c>
      <c r="J17" s="20"/>
      <c r="K17" s="9" t="e">
        <f>J17/$J$17</f>
        <v>#DIV/0!</v>
      </c>
      <c r="L17" s="10" t="e">
        <f>SUM(L3:L7,#REF!)</f>
        <v>#REF!</v>
      </c>
      <c r="M17" s="20"/>
      <c r="N17" s="9" t="e">
        <f>M17/M$17</f>
        <v>#DIV/0!</v>
      </c>
      <c r="O17" s="10" t="e">
        <f>SUM(O3:O7,#REF!)</f>
        <v>#REF!</v>
      </c>
      <c r="P17" s="20"/>
      <c r="Q17" s="9" t="e">
        <f>P17/P$17</f>
        <v>#DIV/0!</v>
      </c>
      <c r="R17" s="10" t="e">
        <f>SUM(R3:R7,#REF!)</f>
        <v>#REF!</v>
      </c>
      <c r="S17" s="20"/>
      <c r="T17" s="9"/>
      <c r="U17" s="10"/>
      <c r="V17" s="20"/>
      <c r="W17" s="24"/>
      <c r="X17" s="10"/>
      <c r="Y17" s="20"/>
      <c r="Z17" s="24"/>
      <c r="AA17" s="10"/>
      <c r="AB17" s="20"/>
      <c r="AC17" s="24"/>
      <c r="AD17" s="10"/>
      <c r="AE17" s="20"/>
      <c r="AF17" s="24"/>
      <c r="AG17" s="10"/>
      <c r="AH17" s="20"/>
      <c r="AI17" s="24"/>
      <c r="AJ17" s="35"/>
      <c r="AK17" s="20"/>
      <c r="AL17" s="24"/>
      <c r="AM17" s="35"/>
      <c r="AN17" s="20"/>
      <c r="AO17" s="24"/>
      <c r="AP17" s="35"/>
      <c r="AQ17" s="20"/>
      <c r="AR17" s="24"/>
      <c r="AS17" s="35"/>
      <c r="AT17" s="20"/>
      <c r="AU17" s="24"/>
      <c r="AV17" s="35"/>
      <c r="AW17" s="20"/>
      <c r="AX17" s="24"/>
      <c r="AY17" s="35"/>
      <c r="AZ17" s="39"/>
      <c r="BA17" s="39"/>
      <c r="BB17" s="39"/>
      <c r="BC17" s="39"/>
      <c r="BD17" s="39"/>
      <c r="BE17" s="39"/>
    </row>
    <row r="18" spans="1:57" x14ac:dyDescent="0.25">
      <c r="B18" s="85" t="s">
        <v>22</v>
      </c>
      <c r="C18" s="86"/>
      <c r="D18" s="82" t="s">
        <v>28</v>
      </c>
      <c r="E18" s="83"/>
      <c r="F18" s="84"/>
      <c r="G18" s="81" t="s">
        <v>29</v>
      </c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1"/>
      <c r="AQ18" s="81"/>
      <c r="AR18" s="81"/>
      <c r="AS18" s="81"/>
      <c r="AT18" s="81"/>
      <c r="AU18" s="81"/>
      <c r="AV18" s="81"/>
      <c r="AW18" s="81"/>
      <c r="AX18" s="81"/>
      <c r="AY18" s="81"/>
    </row>
    <row r="19" spans="1:57" x14ac:dyDescent="0.25">
      <c r="AE19" s="40"/>
    </row>
    <row r="20" spans="1:57" x14ac:dyDescent="0.25">
      <c r="B20" s="61"/>
      <c r="D20" s="7"/>
      <c r="I20" s="7" t="s">
        <v>30</v>
      </c>
    </row>
    <row r="21" spans="1:57" x14ac:dyDescent="0.25">
      <c r="B21" s="45"/>
      <c r="AH21" s="1"/>
      <c r="AI21" s="1"/>
      <c r="AJ21" s="1"/>
      <c r="AM21" s="42"/>
      <c r="AN21" s="46"/>
    </row>
    <row r="22" spans="1:57" x14ac:dyDescent="0.25">
      <c r="AH22" s="1"/>
      <c r="AI22" s="1"/>
      <c r="AJ22" s="1"/>
      <c r="AP22" s="41"/>
    </row>
    <row r="23" spans="1:57" x14ac:dyDescent="0.25">
      <c r="G23" s="12"/>
      <c r="I23" s="7" t="s">
        <v>13</v>
      </c>
      <c r="AM23" s="43"/>
    </row>
    <row r="97" spans="1:3" x14ac:dyDescent="0.25">
      <c r="A97" s="1" t="s">
        <v>7</v>
      </c>
    </row>
    <row r="99" spans="1:3" x14ac:dyDescent="0.25">
      <c r="A99" s="1" t="s">
        <v>8</v>
      </c>
      <c r="B99" s="60" t="s">
        <v>0</v>
      </c>
    </row>
    <row r="100" spans="1:3" x14ac:dyDescent="0.25">
      <c r="A100" s="1" t="s">
        <v>9</v>
      </c>
      <c r="B100" s="60" t="s">
        <v>2</v>
      </c>
    </row>
    <row r="101" spans="1:3" x14ac:dyDescent="0.25">
      <c r="A101" s="1" t="s">
        <v>10</v>
      </c>
      <c r="B101" s="60" t="s">
        <v>0</v>
      </c>
      <c r="C101" s="2" t="s">
        <v>12</v>
      </c>
    </row>
    <row r="102" spans="1:3" x14ac:dyDescent="0.25">
      <c r="A102" s="1" t="s">
        <v>11</v>
      </c>
      <c r="B102" s="60" t="s">
        <v>1</v>
      </c>
    </row>
  </sheetData>
  <mergeCells count="34">
    <mergeCell ref="M1:O1"/>
    <mergeCell ref="M18:O18"/>
    <mergeCell ref="P1:R1"/>
    <mergeCell ref="P18:R18"/>
    <mergeCell ref="AW1:AY1"/>
    <mergeCell ref="AW18:AY18"/>
    <mergeCell ref="AT1:AV1"/>
    <mergeCell ref="AT18:AV18"/>
    <mergeCell ref="AQ1:AS1"/>
    <mergeCell ref="AQ18:AS18"/>
    <mergeCell ref="S1:U1"/>
    <mergeCell ref="S18:U18"/>
    <mergeCell ref="V1:X1"/>
    <mergeCell ref="V18:X18"/>
    <mergeCell ref="Y1:AA1"/>
    <mergeCell ref="Y18:AA18"/>
    <mergeCell ref="B18:C18"/>
    <mergeCell ref="D18:F18"/>
    <mergeCell ref="G18:I18"/>
    <mergeCell ref="J18:L18"/>
    <mergeCell ref="B1:C1"/>
    <mergeCell ref="D1:F1"/>
    <mergeCell ref="G1:I1"/>
    <mergeCell ref="J1:L1"/>
    <mergeCell ref="AN1:AP1"/>
    <mergeCell ref="AN18:AP18"/>
    <mergeCell ref="AB1:AD1"/>
    <mergeCell ref="AB18:AD18"/>
    <mergeCell ref="AE1:AG1"/>
    <mergeCell ref="AE18:AG18"/>
    <mergeCell ref="AH1:AJ1"/>
    <mergeCell ref="AH18:AJ18"/>
    <mergeCell ref="AK1:AM1"/>
    <mergeCell ref="AK18:AM18"/>
  </mergeCells>
  <phoneticPr fontId="4" type="noConversion"/>
  <pageMargins left="0.7" right="0.7" top="0.75" bottom="0.75" header="0.3" footer="0.3"/>
  <pageSetup orientation="portrait" horizontalDpi="4294967293" r:id="rId1"/>
  <ignoredErrors>
    <ignoredError sqref="E17 H1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Capitalization Log</vt:lpstr>
      <vt:lpstr>'Capitalization Log'!Print_Area</vt:lpstr>
    </vt:vector>
  </TitlesOfParts>
  <Company>RealEstateInvestor.com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Capitalization Table</dc:title>
  <dc:creator>Matthew Leitz</dc:creator>
  <cp:lastModifiedBy>Xabran</cp:lastModifiedBy>
  <cp:lastPrinted>2008-03-03T15:03:59Z</cp:lastPrinted>
  <dcterms:created xsi:type="dcterms:W3CDTF">2007-04-19T01:01:35Z</dcterms:created>
  <dcterms:modified xsi:type="dcterms:W3CDTF">2012-03-22T22:23:44Z</dcterms:modified>
</cp:coreProperties>
</file>